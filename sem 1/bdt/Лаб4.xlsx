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eliseystoyko/Library/CloudStorage/Dropbox/оцт лабы/ОЦТ/Файлы для лаб3-5/"/>
    </mc:Choice>
  </mc:AlternateContent>
  <xr:revisionPtr revIDLastSave="0" documentId="13_ncr:1_{89206ECB-DDB1-A34D-86AE-B56EB2A97BB9}" xr6:coauthVersionLast="47" xr6:coauthVersionMax="47" xr10:uidLastSave="{00000000-0000-0000-0000-000000000000}"/>
  <bookViews>
    <workbookView xWindow="0" yWindow="620" windowWidth="28460" windowHeight="1494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 a="1"/>
  <c r="H12" i="2" s="1"/>
  <c r="G12" i="2" a="1"/>
  <c r="G12" i="2" s="1"/>
  <c r="H11" i="2" a="1"/>
  <c r="H11" i="2" s="1"/>
  <c r="G11" i="2"/>
  <c r="G11" i="2" a="1"/>
  <c r="H10" i="2" a="1"/>
  <c r="H10" i="2" s="1"/>
  <c r="G10" i="2" a="1"/>
  <c r="G10" i="2" s="1"/>
  <c r="H9" i="2" a="1"/>
  <c r="H9" i="2" s="1"/>
  <c r="G9" i="2"/>
  <c r="G9" i="2" a="1"/>
  <c r="H8" i="2" a="1"/>
  <c r="H8" i="2" s="1"/>
  <c r="G8" i="2" a="1"/>
  <c r="G8" i="2" s="1"/>
  <c r="H7" i="2" a="1"/>
  <c r="H7" i="2" s="1"/>
  <c r="G7" i="2" a="1"/>
  <c r="G7" i="2" s="1"/>
  <c r="H6" i="2" a="1"/>
  <c r="H6" i="2" s="1"/>
  <c r="G6" i="2" a="1"/>
  <c r="G6" i="2" s="1"/>
  <c r="H5" i="2" a="1"/>
  <c r="H5" i="2" s="1"/>
  <c r="G5" i="2" a="1"/>
  <c r="G5" i="2" s="1"/>
  <c r="H4" i="2" a="1"/>
  <c r="H4" i="2" s="1"/>
  <c r="G4" i="2" a="1"/>
  <c r="G4" i="2" s="1"/>
  <c r="H3" i="2" a="1"/>
  <c r="H3" i="2" s="1"/>
  <c r="G3" i="2" a="1"/>
  <c r="G3" i="2" s="1"/>
  <c r="H4" i="1" a="1"/>
  <c r="H4" i="1" s="1"/>
  <c r="H5" i="1" a="1"/>
  <c r="H5" i="1"/>
  <c r="H6" i="1" a="1"/>
  <c r="H6" i="1" s="1"/>
  <c r="H7" i="1" a="1"/>
  <c r="H7" i="1" s="1"/>
  <c r="H8" i="1" a="1"/>
  <c r="H8" i="1" s="1"/>
  <c r="H9" i="1" a="1"/>
  <c r="H9" i="1"/>
  <c r="H10" i="1" a="1"/>
  <c r="H10" i="1" s="1"/>
  <c r="H11" i="1" a="1"/>
  <c r="H11" i="1" s="1"/>
  <c r="H12" i="1" a="1"/>
  <c r="H12" i="1" s="1"/>
  <c r="G4" i="1" a="1"/>
  <c r="G4" i="1" s="1"/>
  <c r="G5" i="1" a="1"/>
  <c r="G5" i="1"/>
  <c r="G6" i="1" a="1"/>
  <c r="G6" i="1" s="1"/>
  <c r="G7" i="1" a="1"/>
  <c r="G7" i="1" s="1"/>
  <c r="G8" i="1" a="1"/>
  <c r="G8" i="1" s="1"/>
  <c r="G9" i="1" a="1"/>
  <c r="G9" i="1"/>
  <c r="G10" i="1" a="1"/>
  <c r="G10" i="1"/>
  <c r="G11" i="1" a="1"/>
  <c r="G11" i="1" s="1"/>
  <c r="G12" i="1" a="1"/>
  <c r="G12" i="1" s="1"/>
  <c r="G3" i="1" a="1"/>
  <c r="G3" i="1" s="1"/>
  <c r="H3" i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<sst xmlns="http://schemas.openxmlformats.org/spreadsheetml/2006/main" count="22" uniqueCount="11">
  <si>
    <t xml:space="preserve">Продукция химической промышленности </t>
  </si>
  <si>
    <t xml:space="preserve">Текстиль и текстильные изделия </t>
  </si>
  <si>
    <t>Прочие</t>
  </si>
  <si>
    <t xml:space="preserve">ВСЕГО </t>
  </si>
  <si>
    <t xml:space="preserve">Минеральные продукты (в т. ч. нефть и газ)   </t>
  </si>
  <si>
    <t xml:space="preserve">Древесина и целлюлозно-бумажные изделия </t>
  </si>
  <si>
    <t xml:space="preserve">Продовольственные товары и сельхоз сырье </t>
  </si>
  <si>
    <r>
      <rPr>
        <b/>
        <sz val="12"/>
        <color rgb="FF000000"/>
        <rFont val="Times New Roman"/>
        <family val="1"/>
        <charset val="204"/>
      </rPr>
      <t xml:space="preserve">Структура экспорта товаров из России в страны дальнего зарубежья (Российский статистический ежегодник, 1995г.) </t>
    </r>
    <r>
      <rPr>
        <sz val="12"/>
        <color rgb="FF000000"/>
        <rFont val="Times New Roman"/>
        <family val="1"/>
        <charset val="204"/>
      </rPr>
      <t>(в млрд. долларов США)</t>
    </r>
  </si>
  <si>
    <r>
      <t xml:space="preserve">Машины, оборудование и транспортные </t>
    </r>
    <r>
      <rPr>
        <sz val="12"/>
        <rFont val="Times New Roman"/>
        <family val="1"/>
        <charset val="204"/>
      </rPr>
      <t xml:space="preserve">
</t>
    </r>
    <r>
      <rPr>
        <sz val="12"/>
        <color rgb="FF000000"/>
        <rFont val="Times New Roman"/>
        <family val="1"/>
        <charset val="204"/>
      </rPr>
      <t>средства</t>
    </r>
  </si>
  <si>
    <t>Металлы, драгоценные камни и изделия из них</t>
  </si>
  <si>
    <t>Кожевенное сырье, пушнина и изделия из 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</si>
</sst>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Times New Roman"/>
      <family val="1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469900</xdr:colOff>
          <xdr:row>2</xdr:row>
          <xdr:rowOff>317500</xdr:rowOff>
        </xdr:from>
        <xdr:to>
          <xdr:col>10</xdr:col>
          <xdr:colOff>647700</xdr:colOff>
          <xdr:row>4</xdr:row>
          <xdr:rowOff>88900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7EE3BBF-AAD6-0066-51B9-B8D2EE231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 charset="0"/>
                  <a:cs typeface="Calibri" charset="0"/>
                </a:rPr>
                <a:t>Кнопка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12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1" max="1" width="45.1640625" style="1" customWidth="1"/>
    <col min="2" max="2" width="8.6640625" style="1"/>
    <col min="3" max="3" width="6.83203125" style="1"/>
    <col min="4" max="4" width="6.6640625" style="1"/>
    <col min="5" max="6" width="6.83203125" style="1"/>
  </cols>
  <sheetData>
    <row r="1" spans="1:9" ht="30.5" customHeight="1" x14ac:dyDescent="0.2">
      <c r="A1" s="9" t="s">
        <v>7</v>
      </c>
      <c r="B1" s="10"/>
      <c r="C1" s="10"/>
      <c r="D1" s="10"/>
      <c r="E1" s="10"/>
      <c r="F1" s="11"/>
    </row>
    <row r="2" spans="1:9" ht="15.75" customHeight="1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4">
        <v>1994</v>
      </c>
      <c r="G2" s="12">
        <v>1995</v>
      </c>
      <c r="H2" s="13">
        <v>1995</v>
      </c>
    </row>
    <row r="3" spans="1:9" ht="32.5" customHeight="1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4">
        <v>2.5</v>
      </c>
      <c r="G3" cm="1">
        <f t="array" ref="G3">TREND(B3:F3,$B$2:$F$2,$G$2)</f>
        <v>-1.3100000000004002</v>
      </c>
      <c r="H3" cm="1">
        <f t="array" ref="H3">GROWTH(B3:F3,$B$2:$F$2,$H$2,FALSE)</f>
        <v>4.4814693025273575</v>
      </c>
      <c r="I3" s="14"/>
    </row>
    <row r="4" spans="1:9" ht="16.75" customHeight="1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4">
        <v>219</v>
      </c>
      <c r="G4" cm="1">
        <f t="array" ref="G4">TREND(B4:F4,$B$2:$F$2,$G$2)</f>
        <v>243.88000000000466</v>
      </c>
      <c r="H4" cm="1">
        <f t="array" ref="H4">GROWTH(B4:F4,$B$2:$F$2,$H$2,FALSE)</f>
        <v>97.441767133985067</v>
      </c>
    </row>
    <row r="5" spans="1:9" ht="19" customHeight="1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4">
        <v>131</v>
      </c>
      <c r="G5" cm="1">
        <f t="array" ref="G5">TREND(B5:F5,$B$2:$F$2,$G$2)</f>
        <v>153.29000000000815</v>
      </c>
      <c r="H5" cm="1">
        <f t="array" ref="H5">GROWTH(B5:F5,$B$2:$F$2,$H$2,FALSE)</f>
        <v>23.059995186869184</v>
      </c>
    </row>
    <row r="6" spans="1:9" ht="16.75" customHeight="1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4">
        <v>3.9</v>
      </c>
      <c r="G6" cm="1">
        <f t="array" ref="G6">TREND(B6:F6,$B$2:$F$2,$G$2)</f>
        <v>3.2799999999999869</v>
      </c>
      <c r="H6" cm="1">
        <f t="array" ref="H6">GROWTH(B6:F6,$B$2:$F$2,$H$2,FALSE)</f>
        <v>3.1257031920132974</v>
      </c>
    </row>
    <row r="7" spans="1:9" ht="16.75" customHeight="1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4">
        <v>2.1</v>
      </c>
      <c r="G7" cm="1">
        <f t="array" ref="G7">TREND(B7:F7,$B$2:$F$2,$G$2)</f>
        <v>1.4700000000000273</v>
      </c>
      <c r="H7" cm="1">
        <f t="array" ref="H7">GROWTH(B7:F7,$B$2:$F$2,$H$2,FALSE)</f>
        <v>2.166675118388357</v>
      </c>
    </row>
    <row r="8" spans="1:9" ht="16.75" customHeight="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4">
        <v>0.4</v>
      </c>
      <c r="G8" cm="1">
        <f t="array" ref="G8">TREND(B8:F8,$B$2:$F$2,$G$2)</f>
        <v>0.15000000000000568</v>
      </c>
      <c r="H8" cm="1">
        <f t="array" ref="H8">GROWTH(B8:F8,$B$2:$F$2,$H$2,FALSE)</f>
        <v>0.38383268978397411</v>
      </c>
    </row>
    <row r="9" spans="1:9" ht="19.5" customHeight="1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4">
        <v>0.2</v>
      </c>
      <c r="G9" cm="1">
        <f t="array" ref="G9">TREND(B9:F9,$B$2:$F$2,$G$2)</f>
        <v>0.17999999999999261</v>
      </c>
      <c r="H9" cm="1">
        <f t="array" ref="H9">GROWTH(B9:F9,$B$2:$F$2,$H$2,FALSE)</f>
        <v>0.11451217403516033</v>
      </c>
    </row>
    <row r="10" spans="1:9" ht="16.75" customHeight="1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4">
        <v>2.1</v>
      </c>
      <c r="G10" cm="1">
        <f t="array" ref="G10">TREND(B10:F10,$B$2:$F$2,$G$2)</f>
        <v>2.0699999999999932</v>
      </c>
      <c r="H10" cm="1">
        <f t="array" ref="H10">GROWTH(B10:F10,$B$2:$F$2,$H$2,FALSE)</f>
        <v>1.6011960261171909</v>
      </c>
    </row>
    <row r="11" spans="1:9" ht="16.75" customHeight="1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4">
        <v>39</v>
      </c>
      <c r="G11" cm="1">
        <f t="array" ref="G11">TREND(B11:F11,$B$2:$F$2,$G$2)</f>
        <v>30.079999999999927</v>
      </c>
      <c r="H11" cm="1">
        <f t="array" ref="H11">GROWTH(B11:F11,$B$2:$F$2,$H$2,FALSE)</f>
        <v>7.2425160522789209</v>
      </c>
    </row>
    <row r="12" spans="1:9" ht="16.75" customHeight="1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6">
        <v>501</v>
      </c>
      <c r="G12" cm="1">
        <f t="array" ref="G12">TREND(B12:F12,$B$2:$F$2,$G$2)</f>
        <v>673.56999999997788</v>
      </c>
      <c r="H12" cm="1">
        <f t="array" ref="H12">GROWTH(B12:F12,$B$2:$F$2,$H$2,FALSE)</f>
        <v>204.25671632244422</v>
      </c>
    </row>
  </sheetData>
  <mergeCells count="1">
    <mergeCell ref="A1:F1"/>
  </mergeCells>
  <pageMargins left="1" right="1" top="0.44" bottom="0.44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Макрос1">
                <anchor moveWithCells="1" sizeWithCells="1">
                  <from>
                    <xdr:col>8</xdr:col>
                    <xdr:colOff>469900</xdr:colOff>
                    <xdr:row>2</xdr:row>
                    <xdr:rowOff>317500</xdr:rowOff>
                  </from>
                  <to>
                    <xdr:col>10</xdr:col>
                    <xdr:colOff>647700</xdr:colOff>
                    <xdr:row>4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66B2-D821-594A-A9C8-0126B5563B74}">
  <dimension ref="A1:H12"/>
  <sheetViews>
    <sheetView workbookViewId="0">
      <selection activeCell="J4" sqref="J4"/>
    </sheetView>
  </sheetViews>
  <sheetFormatPr baseColWidth="10" defaultRowHeight="34" customHeight="1" x14ac:dyDescent="0.2"/>
  <cols>
    <col min="1" max="1" width="24" bestFit="1" customWidth="1"/>
    <col min="2" max="6" width="5.1640625" bestFit="1" customWidth="1"/>
    <col min="7" max="7" width="7.1640625" bestFit="1" customWidth="1"/>
    <col min="8" max="8" width="12.1640625" bestFit="1" customWidth="1"/>
  </cols>
  <sheetData>
    <row r="1" spans="1:8" ht="16" x14ac:dyDescent="0.2">
      <c r="A1" s="9" t="s">
        <v>7</v>
      </c>
      <c r="B1" s="10"/>
      <c r="C1" s="10"/>
      <c r="D1" s="10"/>
      <c r="E1" s="10"/>
      <c r="F1" s="11"/>
    </row>
    <row r="2" spans="1:8" ht="16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4">
        <v>1994</v>
      </c>
      <c r="G2" s="12">
        <v>1995</v>
      </c>
      <c r="H2" s="13">
        <v>1995</v>
      </c>
    </row>
    <row r="3" spans="1:8" ht="102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4">
        <v>2.5</v>
      </c>
      <c r="G3" cm="1">
        <f t="array" ref="G3">TREND(B3:F3,$B$2:$F$2,$G$2)</f>
        <v>-1.3100000000004002</v>
      </c>
      <c r="H3" cm="1">
        <f t="array" ref="H3">GROWTH(B3:F3,$B$2:$F$2,$H$2,FALSE)</f>
        <v>4.4814693025273575</v>
      </c>
    </row>
    <row r="4" spans="1:8" ht="102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4">
        <v>219</v>
      </c>
      <c r="G4" cm="1">
        <f t="array" ref="G4">TREND(B4:F4,$B$2:$F$2,$G$2)</f>
        <v>243.88000000000466</v>
      </c>
      <c r="H4" cm="1">
        <f t="array" ref="H4">GROWTH(B4:F4,$B$2:$F$2,$H$2,FALSE)</f>
        <v>97.441767133985067</v>
      </c>
    </row>
    <row r="5" spans="1:8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4">
        <v>131</v>
      </c>
      <c r="G5" cm="1">
        <f t="array" ref="G5">TREND(B5:F5,$B$2:$F$2,$G$2)</f>
        <v>153.29000000000815</v>
      </c>
      <c r="H5" cm="1">
        <f t="array" ref="H5">GROWTH(B5:F5,$B$2:$F$2,$H$2,FALSE)</f>
        <v>23.059995186869184</v>
      </c>
    </row>
    <row r="6" spans="1:8" ht="34" customHeight="1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4">
        <v>3.9</v>
      </c>
      <c r="G6" cm="1">
        <f t="array" ref="G6">TREND(B6:F6,$B$2:$F$2,$G$2)</f>
        <v>3.2799999999999869</v>
      </c>
      <c r="H6" cm="1">
        <f t="array" ref="H6">GROWTH(B6:F6,$B$2:$F$2,$H$2,FALSE)</f>
        <v>3.1257031920132974</v>
      </c>
    </row>
    <row r="7" spans="1:8" ht="34" customHeight="1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4">
        <v>2.1</v>
      </c>
      <c r="G7" cm="1">
        <f t="array" ref="G7">TREND(B7:F7,$B$2:$F$2,$G$2)</f>
        <v>1.4700000000000273</v>
      </c>
      <c r="H7" cm="1">
        <f t="array" ref="H7">GROWTH(B7:F7,$B$2:$F$2,$H$2,FALSE)</f>
        <v>2.166675118388357</v>
      </c>
    </row>
    <row r="8" spans="1:8" ht="34" customHeight="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4">
        <v>0.4</v>
      </c>
      <c r="G8" cm="1">
        <f t="array" ref="G8">TREND(B8:F8,$B$2:$F$2,$G$2)</f>
        <v>0.15000000000000568</v>
      </c>
      <c r="H8" cm="1">
        <f t="array" ref="H8">GROWTH(B8:F8,$B$2:$F$2,$H$2,FALSE)</f>
        <v>0.38383268978397411</v>
      </c>
    </row>
    <row r="9" spans="1:8" ht="34" customHeight="1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4">
        <v>0.2</v>
      </c>
      <c r="G9" cm="1">
        <f t="array" ref="G9">TREND(B9:F9,$B$2:$F$2,$G$2)</f>
        <v>0.17999999999999261</v>
      </c>
      <c r="H9" cm="1">
        <f t="array" ref="H9">GROWTH(B9:F9,$B$2:$F$2,$H$2,FALSE)</f>
        <v>0.11451217403516033</v>
      </c>
    </row>
    <row r="10" spans="1:8" ht="34" customHeight="1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4">
        <v>2.1</v>
      </c>
      <c r="G10" cm="1">
        <f t="array" ref="G10">TREND(B10:F10,$B$2:$F$2,$G$2)</f>
        <v>2.0699999999999932</v>
      </c>
      <c r="H10" cm="1">
        <f t="array" ref="H10">GROWTH(B10:F10,$B$2:$F$2,$H$2,FALSE)</f>
        <v>1.6011960261171909</v>
      </c>
    </row>
    <row r="11" spans="1:8" ht="34" customHeight="1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4">
        <v>39</v>
      </c>
      <c r="G11" cm="1">
        <f t="array" ref="G11">TREND(B11:F11,$B$2:$F$2,$G$2)</f>
        <v>30.079999999999927</v>
      </c>
      <c r="H11" cm="1">
        <f t="array" ref="H11">GROWTH(B11:F11,$B$2:$F$2,$H$2,FALSE)</f>
        <v>7.2425160522789209</v>
      </c>
    </row>
    <row r="12" spans="1:8" ht="34" customHeight="1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6">
        <v>501</v>
      </c>
      <c r="G12" cm="1">
        <f t="array" ref="G12">TREND(B12:F12,$B$2:$F$2,$G$2)</f>
        <v>673.56999999997788</v>
      </c>
      <c r="H12" cm="1">
        <f t="array" ref="H12">GROWTH(B12:F12,$B$2:$F$2,$H$2,FALSE)</f>
        <v>204.25671632244422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Елисей Стойко</cp:lastModifiedBy>
  <cp:revision>1</cp:revision>
  <dcterms:created xsi:type="dcterms:W3CDTF">2025-08-21T13:33:32Z</dcterms:created>
  <dcterms:modified xsi:type="dcterms:W3CDTF">2025-10-03T07:30:40Z</dcterms:modified>
</cp:coreProperties>
</file>