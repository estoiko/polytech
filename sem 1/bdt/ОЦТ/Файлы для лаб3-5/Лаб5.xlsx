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10" windowWidth="15120" windowHeight="8010" activeTab="1"/>
  </bookViews>
  <sheets>
    <sheet name="Лист1" sheetId="1" r:id="rId1"/>
    <sheet name="Лист2" sheetId="2" r:id="rId2"/>
    <sheet name="Лист3" sheetId="3" r:id="rId3"/>
  </sheets>
  <calcPr calcId="125725"/>
</workbook>
</file>

<file path=xl/calcChain.xml><?xml version="1.0" encoding="utf-8"?>
<calcChain xmlns="http://schemas.openxmlformats.org/spreadsheetml/2006/main">
  <c r="Y82" i="1"/>
  <c r="X82"/>
  <c r="V82"/>
  <c r="S82"/>
  <c r="R82"/>
  <c r="Q82"/>
  <c r="P82"/>
  <c r="N82"/>
  <c r="L82"/>
  <c r="J82"/>
  <c r="G82"/>
  <c r="O81"/>
  <c r="K81" s="1"/>
  <c r="I81"/>
  <c r="O80"/>
  <c r="K80" s="1"/>
  <c r="W80" s="1"/>
  <c r="Z80" s="1"/>
  <c r="I80"/>
  <c r="O79"/>
  <c r="I79"/>
  <c r="K79" s="1"/>
  <c r="O78"/>
  <c r="K78"/>
  <c r="I78"/>
  <c r="W78" s="1"/>
  <c r="Z78" s="1"/>
  <c r="O77"/>
  <c r="K77" s="1"/>
  <c r="I77"/>
  <c r="O76"/>
  <c r="K76" s="1"/>
  <c r="W76" s="1"/>
  <c r="Z76" s="1"/>
  <c r="I76"/>
  <c r="O75"/>
  <c r="I75"/>
  <c r="K75" s="1"/>
  <c r="O74"/>
  <c r="K74"/>
  <c r="I74"/>
  <c r="W74" s="1"/>
  <c r="Z74" s="1"/>
  <c r="O73"/>
  <c r="K73" s="1"/>
  <c r="I73"/>
  <c r="W73" s="1"/>
  <c r="Z73" s="1"/>
  <c r="O72"/>
  <c r="K72" s="1"/>
  <c r="W72" s="1"/>
  <c r="Z72" s="1"/>
  <c r="I72"/>
  <c r="O71"/>
  <c r="I71"/>
  <c r="K71" s="1"/>
  <c r="O70"/>
  <c r="K70"/>
  <c r="I70"/>
  <c r="W70" s="1"/>
  <c r="Z70" s="1"/>
  <c r="O69"/>
  <c r="K69" s="1"/>
  <c r="I69"/>
  <c r="O68"/>
  <c r="K68" s="1"/>
  <c r="W68" s="1"/>
  <c r="Z68" s="1"/>
  <c r="I68"/>
  <c r="O67"/>
  <c r="I67"/>
  <c r="K67" s="1"/>
  <c r="O66"/>
  <c r="K66"/>
  <c r="I66"/>
  <c r="W66" s="1"/>
  <c r="Z66" s="1"/>
  <c r="O65"/>
  <c r="K65" s="1"/>
  <c r="I65"/>
  <c r="O64"/>
  <c r="K64" s="1"/>
  <c r="W64" s="1"/>
  <c r="Z64" s="1"/>
  <c r="I64"/>
  <c r="O63"/>
  <c r="I63"/>
  <c r="K63" s="1"/>
  <c r="O62"/>
  <c r="K62"/>
  <c r="I62"/>
  <c r="W62" s="1"/>
  <c r="Z62" s="1"/>
  <c r="O61"/>
  <c r="K61" s="1"/>
  <c r="I61"/>
  <c r="O60"/>
  <c r="K60" s="1"/>
  <c r="W60" s="1"/>
  <c r="Z60" s="1"/>
  <c r="I60"/>
  <c r="O59"/>
  <c r="I59"/>
  <c r="K59" s="1"/>
  <c r="O58"/>
  <c r="K58"/>
  <c r="I58"/>
  <c r="W58" s="1"/>
  <c r="Z58" s="1"/>
  <c r="O57"/>
  <c r="K57" s="1"/>
  <c r="I57"/>
  <c r="W57" s="1"/>
  <c r="Z57" s="1"/>
  <c r="O56"/>
  <c r="K56" s="1"/>
  <c r="W56" s="1"/>
  <c r="Z56" s="1"/>
  <c r="I56"/>
  <c r="O55"/>
  <c r="I55"/>
  <c r="K55" s="1"/>
  <c r="O54"/>
  <c r="K54"/>
  <c r="I54"/>
  <c r="W54" s="1"/>
  <c r="Z54" s="1"/>
  <c r="O53"/>
  <c r="K53" s="1"/>
  <c r="I53"/>
  <c r="O52"/>
  <c r="K52" s="1"/>
  <c r="W52" s="1"/>
  <c r="Z52" s="1"/>
  <c r="I52"/>
  <c r="O51"/>
  <c r="I51"/>
  <c r="K51" s="1"/>
  <c r="O50"/>
  <c r="K50"/>
  <c r="I50"/>
  <c r="W50" s="1"/>
  <c r="Z50" s="1"/>
  <c r="O49"/>
  <c r="K49" s="1"/>
  <c r="I49"/>
  <c r="O48"/>
  <c r="K48" s="1"/>
  <c r="W48" s="1"/>
  <c r="Z48" s="1"/>
  <c r="I48"/>
  <c r="O47"/>
  <c r="I47"/>
  <c r="K47" s="1"/>
  <c r="O46"/>
  <c r="K46"/>
  <c r="I46"/>
  <c r="W46" s="1"/>
  <c r="Z46" s="1"/>
  <c r="K45"/>
  <c r="I45"/>
  <c r="W45" s="1"/>
  <c r="Z45" s="1"/>
  <c r="K44"/>
  <c r="I44"/>
  <c r="W44" s="1"/>
  <c r="Z44" s="1"/>
  <c r="O43"/>
  <c r="K43" s="1"/>
  <c r="I43"/>
  <c r="O42"/>
  <c r="K42" s="1"/>
  <c r="W42" s="1"/>
  <c r="Z42" s="1"/>
  <c r="I42"/>
  <c r="O41"/>
  <c r="I41"/>
  <c r="K41" s="1"/>
  <c r="O40"/>
  <c r="K40"/>
  <c r="I40"/>
  <c r="W40" s="1"/>
  <c r="Z40" s="1"/>
  <c r="O39"/>
  <c r="K39" s="1"/>
  <c r="I39"/>
  <c r="W39" s="1"/>
  <c r="Z39" s="1"/>
  <c r="W38"/>
  <c r="Z38" s="1"/>
  <c r="K38"/>
  <c r="I38"/>
  <c r="W37"/>
  <c r="Z37" s="1"/>
  <c r="K37"/>
  <c r="I37"/>
  <c r="O36"/>
  <c r="K36" s="1"/>
  <c r="W36" s="1"/>
  <c r="Z36" s="1"/>
  <c r="I36"/>
  <c r="O35"/>
  <c r="I35"/>
  <c r="K35" s="1"/>
  <c r="I34"/>
  <c r="K34" s="1"/>
  <c r="O33"/>
  <c r="K33"/>
  <c r="I33"/>
  <c r="W33" s="1"/>
  <c r="Z33" s="1"/>
  <c r="K32"/>
  <c r="I32"/>
  <c r="W32" s="1"/>
  <c r="Z32" s="1"/>
  <c r="O31"/>
  <c r="O82" s="1"/>
  <c r="I31"/>
  <c r="W30"/>
  <c r="Z30" s="1"/>
  <c r="K30"/>
  <c r="I30"/>
  <c r="W29"/>
  <c r="Z29" s="1"/>
  <c r="K29"/>
  <c r="I29"/>
  <c r="AA27"/>
  <c r="Y27"/>
  <c r="X27"/>
  <c r="V27"/>
  <c r="U27"/>
  <c r="T27"/>
  <c r="S27"/>
  <c r="R27"/>
  <c r="Q27"/>
  <c r="P27"/>
  <c r="O27"/>
  <c r="N27"/>
  <c r="L27"/>
  <c r="J27"/>
  <c r="G27"/>
  <c r="K26"/>
  <c r="W26" s="1"/>
  <c r="Z26" s="1"/>
  <c r="I25"/>
  <c r="K25" s="1"/>
  <c r="Z24"/>
  <c r="W24"/>
  <c r="N24"/>
  <c r="Z23"/>
  <c r="W23"/>
  <c r="Z22"/>
  <c r="W22"/>
  <c r="N21"/>
  <c r="I21"/>
  <c r="K21" s="1"/>
  <c r="W69" l="1"/>
  <c r="Z69" s="1"/>
  <c r="W65"/>
  <c r="Z65" s="1"/>
  <c r="K82"/>
  <c r="W43"/>
  <c r="Z43" s="1"/>
  <c r="W61"/>
  <c r="Z61" s="1"/>
  <c r="W53"/>
  <c r="Z53" s="1"/>
  <c r="K27"/>
  <c r="W49"/>
  <c r="Z49" s="1"/>
  <c r="W81"/>
  <c r="Z81" s="1"/>
  <c r="W77"/>
  <c r="Z77" s="1"/>
  <c r="I82"/>
  <c r="K31"/>
  <c r="W31" s="1"/>
  <c r="W41"/>
  <c r="Z41" s="1"/>
  <c r="W51"/>
  <c r="Z51" s="1"/>
  <c r="W59"/>
  <c r="Z59" s="1"/>
  <c r="W67"/>
  <c r="Z67" s="1"/>
  <c r="W75"/>
  <c r="Z75" s="1"/>
  <c r="W25"/>
  <c r="Z25" s="1"/>
  <c r="W34"/>
  <c r="Z34" s="1"/>
  <c r="I27"/>
  <c r="W71"/>
  <c r="Z71" s="1"/>
  <c r="W21"/>
  <c r="W35"/>
  <c r="Z35" s="1"/>
  <c r="W47"/>
  <c r="Z47" s="1"/>
  <c r="W55"/>
  <c r="Z55" s="1"/>
  <c r="W63"/>
  <c r="Z63" s="1"/>
  <c r="W79"/>
  <c r="Z79" s="1"/>
  <c r="Z31" l="1"/>
  <c r="Z82" s="1"/>
  <c r="W82"/>
  <c r="W27"/>
  <c r="Z21"/>
  <c r="Z27" s="1"/>
</calcChain>
</file>

<file path=xl/comments1.xml><?xml version="1.0" encoding="utf-8"?>
<comments xmlns="http://schemas.openxmlformats.org/spreadsheetml/2006/main">
  <authors>
    <author>Автор</author>
  </authors>
  <commentList>
    <comment ref="N21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23330-премия к празднику
</t>
        </r>
      </text>
    </comment>
    <comment ref="R31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28.04 по 02.05
</t>
        </r>
      </text>
    </comment>
    <comment ref="S32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28.05 по 23.06
</t>
        </r>
      </text>
    </comment>
    <comment ref="R42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26.04 по 04.05</t>
        </r>
      </text>
    </comment>
    <comment ref="S46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28.05 по 23.06</t>
        </r>
      </text>
    </comment>
    <comment ref="S53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28.05 по 30.06
</t>
        </r>
      </text>
    </comment>
    <comment ref="R65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06.05 по 10.05</t>
        </r>
      </text>
    </comment>
    <comment ref="L67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оплата доп.дней по уходу за детьми-инвалидами
</t>
        </r>
      </text>
    </comment>
    <comment ref="R69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10.05 по 17.05</t>
        </r>
      </text>
    </comment>
    <comment ref="R70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23.04 по 25.05
</t>
        </r>
      </text>
    </comment>
    <comment ref="R80" authorId="0">
      <text>
        <r>
          <rPr>
            <b/>
            <sz val="8"/>
            <color indexed="81"/>
            <rFont val="Tahoma"/>
            <family val="2"/>
            <charset val="204"/>
          </rPr>
          <t>Автор:</t>
        </r>
        <r>
          <rPr>
            <sz val="8"/>
            <color indexed="81"/>
            <rFont val="Tahoma"/>
            <family val="2"/>
            <charset val="204"/>
          </rPr>
          <t xml:space="preserve">
с 26.04 по 03.05</t>
        </r>
      </text>
    </comment>
  </commentList>
</comments>
</file>

<file path=xl/sharedStrings.xml><?xml version="1.0" encoding="utf-8"?>
<sst xmlns="http://schemas.openxmlformats.org/spreadsheetml/2006/main" count="267" uniqueCount="154">
  <si>
    <t>Открытое акционерное общество "Государственный научно-исследовательский                                                                                                                                                                                                                                                                                                                                                                                               институт "Полимер"" (ОАО "Полимер")</t>
  </si>
  <si>
    <t>РАСЧЕТ</t>
  </si>
  <si>
    <t>Фонда заработной платы персонала</t>
  </si>
  <si>
    <t>№ п/п</t>
  </si>
  <si>
    <t>ФИО</t>
  </si>
  <si>
    <t>Должность</t>
  </si>
  <si>
    <t>Отрабо-танное время (дни/ часы)</t>
  </si>
  <si>
    <t>ОКЛАД, ОТРАБ.                         руб.</t>
  </si>
  <si>
    <t>коэф. к окл.</t>
  </si>
  <si>
    <t>компен-сация к окладу</t>
  </si>
  <si>
    <t>Надбавки</t>
  </si>
  <si>
    <t>Оплата по среднему заработку  руб.</t>
  </si>
  <si>
    <t>Доплата за совме-щение</t>
  </si>
  <si>
    <t>Премия</t>
  </si>
  <si>
    <t>Доплаты</t>
  </si>
  <si>
    <t>Б/лист</t>
  </si>
  <si>
    <t>Отпуск</t>
  </si>
  <si>
    <t>Компе-нсация отпуска при увольн.</t>
  </si>
  <si>
    <t>ИТОГО за месяц,                                         руб.</t>
  </si>
  <si>
    <t>НДФЛ</t>
  </si>
  <si>
    <t>По исполнит.
листу</t>
  </si>
  <si>
    <t>ИТОГО за месяц к получению,                                         руб.</t>
  </si>
  <si>
    <t>Приме-чание</t>
  </si>
  <si>
    <t>Т.Н.</t>
  </si>
  <si>
    <t>за раб.со свед. сост. ГТ</t>
  </si>
  <si>
    <t>за стаж непр. раб. с ХО</t>
  </si>
  <si>
    <t>за ночные часы работы</t>
  </si>
  <si>
    <t>за раб. в праздн. дни</t>
  </si>
  <si>
    <t>за счет работода-теля</t>
  </si>
  <si>
    <t>за счет ФСС</t>
  </si>
  <si>
    <t>учебный</t>
  </si>
  <si>
    <t>очеред-ной</t>
  </si>
  <si>
    <t>за свой счет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</si>
  <si>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</si>
  <si>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</si>
  <si>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</si>
  <si>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</si>
  <si>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</si>
  <si>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</si>
  <si>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</si>
  <si>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</si>
  <si>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</si>
  <si>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</si>
  <si>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</si>
  <si>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</si>
  <si>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</si>
  <si>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</si>
  <si>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</si>
  <si>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</si>
  <si>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</si>
  <si>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</si>
  <si>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</si>
  <si>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</si>
  <si>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</si>
  <si>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</si>
  <si>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</si>
  <si>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</si>
  <si>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Многопрофильная лаборатория</t>
  </si>
  <si>
    <t>Чечевицын Николай Иванович</t>
  </si>
  <si>
    <t>Начальник МПЛ-М</t>
  </si>
  <si>
    <t>21/150,2</t>
  </si>
  <si>
    <t>Груздева Людмила Николаевна</t>
  </si>
  <si>
    <t>Зам.гл.бух.</t>
  </si>
  <si>
    <t>21/167</t>
  </si>
  <si>
    <t>Васильева Наталья Викторовна</t>
  </si>
  <si>
    <t>Бухгалтер</t>
  </si>
  <si>
    <t>Куликова Наталья Витальевна</t>
  </si>
  <si>
    <t>Инженер по кадрам</t>
  </si>
  <si>
    <t>16/127</t>
  </si>
  <si>
    <t>Птичкина Алсу Ралифовна</t>
  </si>
  <si>
    <t xml:space="preserve">Инженер по охране труда и технике безопасности </t>
  </si>
  <si>
    <t>Островцев Владимир Сергеевич</t>
  </si>
  <si>
    <t>Помошник начальника МПЛ-М по режиму</t>
  </si>
  <si>
    <t>Итого:</t>
  </si>
  <si>
    <t>ЛКБР</t>
  </si>
  <si>
    <t>Пак Надежда Васильевна</t>
  </si>
  <si>
    <t>нач. лаборатории</t>
  </si>
  <si>
    <t>21 / 150,2</t>
  </si>
  <si>
    <t>Когинов Василий Николаевич</t>
  </si>
  <si>
    <t>Зам.нач.лаб.</t>
  </si>
  <si>
    <t>Ирбенева Людмила Владиславовна</t>
  </si>
  <si>
    <t xml:space="preserve"> Инженер 1 кат.</t>
  </si>
  <si>
    <t>24 / 144</t>
  </si>
  <si>
    <t>Комарова Ирина Викторовна</t>
  </si>
  <si>
    <t>Инженер 1 кат.</t>
  </si>
  <si>
    <t>17 / 121,4</t>
  </si>
  <si>
    <t>Кружалов Владимир Владимирович</t>
  </si>
  <si>
    <t>25 / 150</t>
  </si>
  <si>
    <t>Морозова Юлия Александровна</t>
  </si>
  <si>
    <t>Пушкина Елена Сергеевна</t>
  </si>
  <si>
    <t>23 / 138</t>
  </si>
  <si>
    <t>Соловьев Александр Аркадьевич</t>
  </si>
  <si>
    <t>Таманов Владимир Алексеевич</t>
  </si>
  <si>
    <t>Тамарова Наталья Владиславовна</t>
  </si>
  <si>
    <t>Юдин Анатолий Сергеевич</t>
  </si>
  <si>
    <t>Ягудина Галина Наиловна</t>
  </si>
  <si>
    <t>22 / 132</t>
  </si>
  <si>
    <t>Баженова Наталья Станиславовна</t>
  </si>
  <si>
    <t>Лаборант хим. Анализа 5 р.</t>
  </si>
  <si>
    <t>Верещагина Ирина Сергеевна</t>
  </si>
  <si>
    <t>21 / 126</t>
  </si>
  <si>
    <t>Воробьева Нина Витальевна</t>
  </si>
  <si>
    <t>Григорьев Сергей Николаевич</t>
  </si>
  <si>
    <t>-</t>
  </si>
  <si>
    <t>Дробашевская Ольга Михайловна</t>
  </si>
  <si>
    <t>Киселева Елена Константиновна</t>
  </si>
  <si>
    <t xml:space="preserve">Кинчарова Елена Сергеевна </t>
  </si>
  <si>
    <t>Мельникова Рита Анатольевна</t>
  </si>
  <si>
    <t>Николаева Светлана Андреевна</t>
  </si>
  <si>
    <t>Ненашева Ирина Вячеславовна</t>
  </si>
  <si>
    <t>Парамонова Татьяна Николаевна</t>
  </si>
  <si>
    <t>Сидельникова Ирина Андреевна</t>
  </si>
  <si>
    <t>Смирнова Настасья Павловна</t>
  </si>
  <si>
    <t>7 / 42</t>
  </si>
  <si>
    <t>Спутникова Ирина Леонидовна</t>
  </si>
  <si>
    <t>Чернышева Наталия Михайловна</t>
  </si>
  <si>
    <t>Федорова Наталья Геннадьевна</t>
  </si>
  <si>
    <t xml:space="preserve">Шубникова Екатерина Витальевна  </t>
  </si>
  <si>
    <t>Юргинова Надежда Игнатьевна</t>
  </si>
  <si>
    <t>Григорьев Николай Николаевич</t>
  </si>
  <si>
    <t>Техник 1 категории</t>
  </si>
  <si>
    <t>Зубов Константин Андреевич</t>
  </si>
  <si>
    <t>Крутилин Денис Витальевич</t>
  </si>
  <si>
    <t>Кузнецов Сергей Сергеевич</t>
  </si>
  <si>
    <t>Мельников Андрей Владимирович</t>
  </si>
  <si>
    <t>Подольский Игнатий Александрович</t>
  </si>
  <si>
    <t>Рудской Илья Анатольевич</t>
  </si>
  <si>
    <t>13 / 78</t>
  </si>
  <si>
    <t>Быков Виталий Витальевич</t>
  </si>
  <si>
    <t>Пробоотборщик 3 р.</t>
  </si>
  <si>
    <t>25 / 100</t>
  </si>
  <si>
    <t>Васильев Александр Николаевич</t>
  </si>
  <si>
    <t>23 / 92</t>
  </si>
  <si>
    <t>Гудков Павел Петрович</t>
  </si>
  <si>
    <t>Зеленко Дмитрий Феликсович</t>
  </si>
  <si>
    <t>15 / 60</t>
  </si>
  <si>
    <t>Покидин Владимир Юрьевич</t>
  </si>
  <si>
    <t>5 / 20</t>
  </si>
  <si>
    <t>Комлев Павел Васильевич</t>
  </si>
  <si>
    <t>Кукин Андрей Александрович</t>
  </si>
  <si>
    <t>Маслов Дмитрий Сергеевич</t>
  </si>
  <si>
    <t>Маслов Роман Сергеевич</t>
  </si>
  <si>
    <t>Михайлов Иван Павлович</t>
  </si>
  <si>
    <t>Набиуллин Андрей Викторович</t>
  </si>
  <si>
    <t>Пушкарев Виктор Анатольевич</t>
  </si>
  <si>
    <t>Санников Василий Александрович</t>
  </si>
  <si>
    <t>Тульев Юрий Михайлович</t>
  </si>
  <si>
    <t>Старыгин Михаил Викторович</t>
  </si>
  <si>
    <t>24 / 96</t>
  </si>
  <si>
    <t>Чулымцев Михаил Николаевич</t>
  </si>
  <si>
    <t>Итого в Лаборатории по контролю безопасности производства:</t>
  </si>
  <si>
    <t>Составил: Начальник МПЛ-М ____________________ Чикишев Н.М.</t>
  </si>
  <si>
    <t>Проверил: Зам.главного бухгалтера ____________________ Галкина Л.Н.</t>
  </si>
  <si>
    <t>табельный номер</t>
  </si>
</sst>
</file>

<file path=xl/styles.xml><?xml version="1.0" encoding="utf-8"?>
<styleSheet xmlns="http://schemas.openxmlformats.org/spreadsheetml/2006/main">
  <numFmts count="1">
    <numFmt numFmtId="164" formatCode="0.0"/>
  </numFmts>
  <fonts count="18">
    <font>
      <sz val="11"/>
      <color theme="1"/>
      <name val="Calibri"/>
      <family val="2"/>
      <charset val="204"/>
      <scheme val="minor"/>
    </font>
    <font>
      <b/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i/>
      <sz val="12"/>
      <color indexed="8"/>
      <name val="Times New Roman"/>
      <family val="1"/>
      <charset val="204"/>
    </font>
    <font>
      <b/>
      <sz val="13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name val="Arial"/>
      <family val="2"/>
    </font>
    <font>
      <sz val="11"/>
      <name val="Verdana"/>
      <family val="2"/>
      <charset val="204"/>
    </font>
    <font>
      <b/>
      <i/>
      <sz val="12"/>
      <name val="Arial"/>
      <family val="2"/>
    </font>
    <font>
      <sz val="11"/>
      <name val="Arial"/>
      <family val="2"/>
    </font>
    <font>
      <b/>
      <sz val="8"/>
      <color indexed="8"/>
      <name val="Times New Roman"/>
      <family val="1"/>
      <charset val="204"/>
    </font>
    <font>
      <b/>
      <i/>
      <sz val="13"/>
      <color indexed="8"/>
      <name val="Times New Roman"/>
      <family val="1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188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4" fontId="2" fillId="0" borderId="0" xfId="0" applyNumberFormat="1" applyFont="1" applyFill="1" applyAlignment="1">
      <alignment horizontal="right" vertical="center" wrapText="1"/>
    </xf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" fontId="6" fillId="0" borderId="1" xfId="0" applyNumberFormat="1" applyFont="1" applyFill="1" applyBorder="1" applyAlignment="1">
      <alignment horizontal="center" vertical="center" wrapText="1"/>
    </xf>
    <xf numFmtId="4" fontId="6" fillId="0" borderId="5" xfId="0" applyNumberFormat="1" applyFont="1" applyFill="1" applyBorder="1" applyAlignment="1">
      <alignment horizontal="center" vertical="center" wrapText="1"/>
    </xf>
    <xf numFmtId="4" fontId="6" fillId="0" borderId="6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4" fontId="6" fillId="0" borderId="7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4" fontId="6" fillId="0" borderId="8" xfId="0" applyNumberFormat="1" applyFont="1" applyFill="1" applyBorder="1" applyAlignment="1">
      <alignment horizontal="center" vertical="center" wrapText="1"/>
    </xf>
    <xf numFmtId="4" fontId="3" fillId="0" borderId="8" xfId="0" applyNumberFormat="1" applyFont="1" applyFill="1" applyBorder="1" applyAlignment="1">
      <alignment horizontal="center" vertical="center" wrapText="1"/>
    </xf>
    <xf numFmtId="4" fontId="4" fillId="0" borderId="8" xfId="0" applyNumberFormat="1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4" fontId="6" fillId="0" borderId="11" xfId="0" applyNumberFormat="1" applyFont="1" applyFill="1" applyBorder="1" applyAlignment="1">
      <alignment horizontal="center" vertical="center" wrapText="1"/>
    </xf>
    <xf numFmtId="4" fontId="3" fillId="0" borderId="11" xfId="0" applyNumberFormat="1" applyFont="1" applyFill="1" applyBorder="1" applyAlignment="1">
      <alignment horizontal="center" vertical="center" wrapText="1"/>
    </xf>
    <xf numFmtId="4" fontId="4" fillId="0" borderId="11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7" fillId="0" borderId="6" xfId="0" applyNumberFormat="1" applyFont="1" applyFill="1" applyBorder="1" applyAlignment="1">
      <alignment horizontal="center" vertical="center" wrapText="1"/>
    </xf>
    <xf numFmtId="49" fontId="7" fillId="0" borderId="5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0" fontId="8" fillId="0" borderId="14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8" fillId="0" borderId="16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wrapText="1"/>
    </xf>
    <xf numFmtId="0" fontId="9" fillId="0" borderId="0" xfId="0" applyFont="1" applyFill="1"/>
    <xf numFmtId="0" fontId="2" fillId="0" borderId="1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11" fillId="0" borderId="19" xfId="1" applyNumberFormat="1" applyFont="1" applyBorder="1" applyAlignment="1">
      <alignment horizontal="center" vertical="center"/>
    </xf>
    <xf numFmtId="0" fontId="11" fillId="0" borderId="21" xfId="1" applyNumberFormat="1" applyFont="1" applyBorder="1" applyAlignment="1">
      <alignment vertical="center"/>
    </xf>
    <xf numFmtId="4" fontId="2" fillId="0" borderId="19" xfId="0" applyNumberFormat="1" applyFont="1" applyFill="1" applyBorder="1" applyAlignment="1">
      <alignment horizontal="right" vertical="center" wrapText="1"/>
    </xf>
    <xf numFmtId="4" fontId="3" fillId="0" borderId="19" xfId="0" applyNumberFormat="1" applyFont="1" applyFill="1" applyBorder="1" applyAlignment="1">
      <alignment horizontal="right" vertical="center" wrapText="1"/>
    </xf>
    <xf numFmtId="4" fontId="5" fillId="0" borderId="19" xfId="0" applyNumberFormat="1" applyFont="1" applyFill="1" applyBorder="1" applyAlignment="1">
      <alignment horizontal="right" vertical="center" wrapText="1"/>
    </xf>
    <xf numFmtId="4" fontId="2" fillId="0" borderId="22" xfId="0" applyNumberFormat="1" applyFont="1" applyFill="1" applyBorder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1" fillId="0" borderId="2" xfId="1" applyNumberFormat="1" applyFont="1" applyBorder="1" applyAlignment="1">
      <alignment horizontal="center" vertical="center"/>
    </xf>
    <xf numFmtId="0" fontId="11" fillId="0" borderId="2" xfId="1" applyNumberFormat="1" applyFont="1" applyBorder="1" applyAlignment="1">
      <alignment vertical="center"/>
    </xf>
    <xf numFmtId="4" fontId="2" fillId="0" borderId="2" xfId="0" applyNumberFormat="1" applyFont="1" applyFill="1" applyBorder="1" applyAlignment="1">
      <alignment horizontal="right" vertical="center" wrapText="1"/>
    </xf>
    <xf numFmtId="4" fontId="12" fillId="0" borderId="24" xfId="1" applyNumberFormat="1" applyFont="1" applyFill="1" applyBorder="1" applyAlignment="1">
      <alignment horizontal="right" vertical="top"/>
    </xf>
    <xf numFmtId="4" fontId="5" fillId="0" borderId="2" xfId="0" applyNumberFormat="1" applyFont="1" applyFill="1" applyBorder="1" applyAlignment="1">
      <alignment horizontal="right" vertical="center" wrapText="1"/>
    </xf>
    <xf numFmtId="4" fontId="2" fillId="0" borderId="25" xfId="0" applyNumberFormat="1" applyFont="1" applyFill="1" applyBorder="1" applyAlignment="1">
      <alignment horizontal="right" vertical="center" wrapText="1"/>
    </xf>
    <xf numFmtId="0" fontId="2" fillId="0" borderId="13" xfId="0" applyFont="1" applyFill="1" applyBorder="1" applyAlignment="1">
      <alignment horizontal="center" vertical="center"/>
    </xf>
    <xf numFmtId="2" fontId="11" fillId="0" borderId="2" xfId="1" applyNumberFormat="1" applyFont="1" applyBorder="1" applyAlignment="1">
      <alignment vertical="center"/>
    </xf>
    <xf numFmtId="4" fontId="2" fillId="0" borderId="11" xfId="0" applyNumberFormat="1" applyFont="1" applyFill="1" applyBorder="1" applyAlignment="1">
      <alignment horizontal="right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left" vertical="center" wrapText="1"/>
    </xf>
    <xf numFmtId="4" fontId="2" fillId="0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0" fontId="5" fillId="0" borderId="26" xfId="0" applyFont="1" applyFill="1" applyBorder="1" applyAlignment="1">
      <alignment horizontal="right" vertical="center"/>
    </xf>
    <xf numFmtId="0" fontId="5" fillId="0" borderId="15" xfId="0" applyFont="1" applyFill="1" applyBorder="1" applyAlignment="1">
      <alignment horizontal="right" vertical="center"/>
    </xf>
    <xf numFmtId="0" fontId="5" fillId="0" borderId="16" xfId="0" applyFont="1" applyFill="1" applyBorder="1" applyAlignment="1">
      <alignment horizontal="right" vertical="center"/>
    </xf>
    <xf numFmtId="4" fontId="5" fillId="0" borderId="27" xfId="0" applyNumberFormat="1" applyFont="1" applyFill="1" applyBorder="1" applyAlignment="1">
      <alignment horizontal="center" vertical="center"/>
    </xf>
    <xf numFmtId="4" fontId="5" fillId="0" borderId="27" xfId="0" applyNumberFormat="1" applyFont="1" applyFill="1" applyBorder="1" applyAlignment="1">
      <alignment vertical="center"/>
    </xf>
    <xf numFmtId="0" fontId="5" fillId="0" borderId="27" xfId="0" applyFont="1" applyFill="1" applyBorder="1" applyAlignment="1">
      <alignment horizontal="center" vertical="center"/>
    </xf>
    <xf numFmtId="4" fontId="5" fillId="0" borderId="27" xfId="0" applyNumberFormat="1" applyFont="1" applyFill="1" applyBorder="1" applyAlignment="1">
      <alignment horizontal="right" vertical="center" wrapText="1"/>
    </xf>
    <xf numFmtId="4" fontId="3" fillId="0" borderId="27" xfId="0" applyNumberFormat="1" applyFont="1" applyFill="1" applyBorder="1" applyAlignment="1">
      <alignment horizontal="right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/>
    </xf>
    <xf numFmtId="0" fontId="2" fillId="0" borderId="19" xfId="0" applyFont="1" applyFill="1" applyBorder="1" applyAlignment="1">
      <alignment horizontal="left"/>
    </xf>
    <xf numFmtId="0" fontId="9" fillId="0" borderId="19" xfId="0" applyFont="1" applyFill="1" applyBorder="1" applyAlignment="1">
      <alignment horizontal="center" vertical="center" wrapText="1"/>
    </xf>
    <xf numFmtId="4" fontId="2" fillId="0" borderId="19" xfId="0" applyNumberFormat="1" applyFont="1" applyFill="1" applyBorder="1" applyAlignment="1">
      <alignment horizontal="center" vertical="center"/>
    </xf>
    <xf numFmtId="4" fontId="13" fillId="0" borderId="19" xfId="1" applyNumberFormat="1" applyFont="1" applyBorder="1" applyAlignment="1">
      <alignment horizontal="right" vertical="top"/>
    </xf>
    <xf numFmtId="4" fontId="2" fillId="0" borderId="19" xfId="0" applyNumberFormat="1" applyFont="1" applyFill="1" applyBorder="1" applyAlignment="1">
      <alignment horizontal="right" vertical="center"/>
    </xf>
    <xf numFmtId="4" fontId="3" fillId="0" borderId="19" xfId="0" applyNumberFormat="1" applyFont="1" applyFill="1" applyBorder="1" applyAlignment="1">
      <alignment horizontal="right" vertical="center"/>
    </xf>
    <xf numFmtId="4" fontId="2" fillId="0" borderId="19" xfId="0" applyNumberFormat="1" applyFont="1" applyFill="1" applyBorder="1"/>
    <xf numFmtId="4" fontId="2" fillId="0" borderId="22" xfId="0" applyNumberFormat="1" applyFont="1" applyFill="1" applyBorder="1"/>
    <xf numFmtId="164" fontId="2" fillId="0" borderId="0" xfId="0" applyNumberFormat="1" applyFont="1" applyFill="1"/>
    <xf numFmtId="0" fontId="2" fillId="0" borderId="0" xfId="0" applyFont="1" applyFill="1"/>
    <xf numFmtId="0" fontId="2" fillId="0" borderId="28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/>
    </xf>
    <xf numFmtId="0" fontId="9" fillId="0" borderId="1" xfId="0" applyFont="1" applyFill="1" applyBorder="1" applyAlignment="1">
      <alignment horizontal="center" vertical="center" wrapText="1"/>
    </xf>
    <xf numFmtId="4" fontId="2" fillId="0" borderId="1" xfId="0" applyNumberFormat="1" applyFont="1" applyFill="1" applyBorder="1" applyAlignment="1">
      <alignment horizontal="center" vertical="center"/>
    </xf>
    <xf numFmtId="4" fontId="13" fillId="0" borderId="1" xfId="1" applyNumberFormat="1" applyFont="1" applyBorder="1" applyAlignment="1">
      <alignment horizontal="right" vertical="top"/>
    </xf>
    <xf numFmtId="0" fontId="11" fillId="0" borderId="1" xfId="1" applyNumberFormat="1" applyFont="1" applyBorder="1" applyAlignment="1">
      <alignment horizontal="center" vertical="center"/>
    </xf>
    <xf numFmtId="4" fontId="2" fillId="0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4" fontId="3" fillId="0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Fill="1" applyBorder="1"/>
    <xf numFmtId="4" fontId="5" fillId="0" borderId="1" xfId="0" applyNumberFormat="1" applyFont="1" applyFill="1" applyBorder="1" applyAlignment="1">
      <alignment horizontal="right" vertical="center" wrapText="1"/>
    </xf>
    <xf numFmtId="4" fontId="2" fillId="0" borderId="29" xfId="0" applyNumberFormat="1" applyFont="1" applyFill="1" applyBorder="1"/>
    <xf numFmtId="0" fontId="11" fillId="0" borderId="19" xfId="1" applyNumberFormat="1" applyFont="1" applyBorder="1" applyAlignment="1">
      <alignment vertical="center"/>
    </xf>
    <xf numFmtId="0" fontId="2" fillId="0" borderId="2" xfId="0" applyFont="1" applyFill="1" applyBorder="1" applyAlignment="1">
      <alignment horizontal="left"/>
    </xf>
    <xf numFmtId="0" fontId="9" fillId="0" borderId="2" xfId="0" applyFont="1" applyFill="1" applyBorder="1" applyAlignment="1">
      <alignment horizontal="center" vertical="center" wrapText="1"/>
    </xf>
    <xf numFmtId="4" fontId="2" fillId="0" borderId="2" xfId="0" applyNumberFormat="1" applyFont="1" applyFill="1" applyBorder="1" applyAlignment="1">
      <alignment horizontal="right" vertical="center"/>
    </xf>
    <xf numFmtId="4" fontId="3" fillId="0" borderId="2" xfId="0" applyNumberFormat="1" applyFont="1" applyFill="1" applyBorder="1" applyAlignment="1">
      <alignment horizontal="right" vertical="center"/>
    </xf>
    <xf numFmtId="4" fontId="2" fillId="0" borderId="2" xfId="0" applyNumberFormat="1" applyFont="1" applyFill="1" applyBorder="1"/>
    <xf numFmtId="4" fontId="2" fillId="0" borderId="25" xfId="0" applyNumberFormat="1" applyFont="1" applyFill="1" applyBorder="1"/>
    <xf numFmtId="164" fontId="2" fillId="0" borderId="0" xfId="0" applyNumberFormat="1" applyFont="1" applyFill="1" applyBorder="1"/>
    <xf numFmtId="3" fontId="2" fillId="0" borderId="2" xfId="0" applyNumberFormat="1" applyFont="1" applyFill="1" applyBorder="1"/>
    <xf numFmtId="0" fontId="2" fillId="0" borderId="11" xfId="0" applyFont="1" applyFill="1" applyBorder="1" applyAlignment="1">
      <alignment horizontal="left"/>
    </xf>
    <xf numFmtId="0" fontId="9" fillId="0" borderId="11" xfId="0" applyFont="1" applyFill="1" applyBorder="1" applyAlignment="1">
      <alignment horizontal="center" vertical="center" wrapText="1"/>
    </xf>
    <xf numFmtId="0" fontId="11" fillId="0" borderId="11" xfId="1" applyNumberFormat="1" applyFont="1" applyBorder="1" applyAlignment="1">
      <alignment horizontal="center" vertical="center"/>
    </xf>
    <xf numFmtId="0" fontId="11" fillId="0" borderId="11" xfId="1" applyNumberFormat="1" applyFont="1" applyBorder="1" applyAlignment="1">
      <alignment vertical="center"/>
    </xf>
    <xf numFmtId="4" fontId="2" fillId="0" borderId="11" xfId="0" applyNumberFormat="1" applyFont="1" applyFill="1" applyBorder="1" applyAlignment="1">
      <alignment horizontal="right" vertical="center"/>
    </xf>
    <xf numFmtId="4" fontId="3" fillId="0" borderId="11" xfId="0" applyNumberFormat="1" applyFont="1" applyFill="1" applyBorder="1" applyAlignment="1">
      <alignment horizontal="right" vertical="center"/>
    </xf>
    <xf numFmtId="4" fontId="2" fillId="0" borderId="11" xfId="0" applyNumberFormat="1" applyFont="1" applyFill="1" applyBorder="1"/>
    <xf numFmtId="4" fontId="5" fillId="0" borderId="11" xfId="0" applyNumberFormat="1" applyFont="1" applyFill="1" applyBorder="1" applyAlignment="1">
      <alignment horizontal="right" vertical="center" wrapText="1"/>
    </xf>
    <xf numFmtId="3" fontId="2" fillId="0" borderId="11" xfId="0" applyNumberFormat="1" applyFont="1" applyFill="1" applyBorder="1"/>
    <xf numFmtId="4" fontId="2" fillId="0" borderId="30" xfId="0" applyNumberFormat="1" applyFont="1" applyFill="1" applyBorder="1"/>
    <xf numFmtId="49" fontId="11" fillId="0" borderId="2" xfId="1" applyNumberFormat="1" applyFont="1" applyBorder="1" applyAlignment="1">
      <alignment horizontal="center" vertical="center"/>
    </xf>
    <xf numFmtId="0" fontId="11" fillId="0" borderId="1" xfId="1" applyNumberFormat="1" applyFont="1" applyBorder="1" applyAlignment="1">
      <alignment vertical="center"/>
    </xf>
    <xf numFmtId="3" fontId="2" fillId="0" borderId="27" xfId="0" applyNumberFormat="1" applyFont="1" applyFill="1" applyBorder="1"/>
    <xf numFmtId="0" fontId="2" fillId="0" borderId="31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left"/>
    </xf>
    <xf numFmtId="0" fontId="9" fillId="0" borderId="27" xfId="0" applyFont="1" applyFill="1" applyBorder="1" applyAlignment="1">
      <alignment horizontal="center" vertical="center" wrapText="1"/>
    </xf>
    <xf numFmtId="0" fontId="11" fillId="0" borderId="27" xfId="1" applyNumberFormat="1" applyFont="1" applyBorder="1" applyAlignment="1">
      <alignment horizontal="center" vertical="center"/>
    </xf>
    <xf numFmtId="0" fontId="11" fillId="0" borderId="27" xfId="1" applyNumberFormat="1" applyFont="1" applyBorder="1" applyAlignment="1">
      <alignment vertical="center"/>
    </xf>
    <xf numFmtId="4" fontId="2" fillId="0" borderId="27" xfId="0" applyNumberFormat="1" applyFont="1" applyFill="1" applyBorder="1" applyAlignment="1">
      <alignment horizontal="right" vertical="center" wrapText="1"/>
    </xf>
    <xf numFmtId="4" fontId="2" fillId="0" borderId="27" xfId="0" applyNumberFormat="1" applyFont="1" applyFill="1" applyBorder="1" applyAlignment="1">
      <alignment horizontal="right" vertical="center"/>
    </xf>
    <xf numFmtId="4" fontId="3" fillId="0" borderId="27" xfId="0" applyNumberFormat="1" applyFont="1" applyFill="1" applyBorder="1" applyAlignment="1">
      <alignment horizontal="right" vertical="center"/>
    </xf>
    <xf numFmtId="4" fontId="2" fillId="0" borderId="27" xfId="0" applyNumberFormat="1" applyFont="1" applyFill="1" applyBorder="1"/>
    <xf numFmtId="4" fontId="2" fillId="0" borderId="32" xfId="0" applyNumberFormat="1" applyFont="1" applyFill="1" applyBorder="1"/>
    <xf numFmtId="0" fontId="14" fillId="0" borderId="33" xfId="0" applyFont="1" applyFill="1" applyBorder="1" applyAlignment="1">
      <alignment horizontal="right" vertical="center"/>
    </xf>
    <xf numFmtId="0" fontId="14" fillId="0" borderId="34" xfId="0" applyFont="1" applyFill="1" applyBorder="1" applyAlignment="1">
      <alignment horizontal="right" vertical="center"/>
    </xf>
    <xf numFmtId="0" fontId="14" fillId="0" borderId="35" xfId="0" applyFont="1" applyFill="1" applyBorder="1" applyAlignment="1">
      <alignment horizontal="right" vertical="center"/>
    </xf>
    <xf numFmtId="4" fontId="5" fillId="0" borderId="35" xfId="0" applyNumberFormat="1" applyFont="1" applyFill="1" applyBorder="1" applyAlignment="1">
      <alignment horizontal="center" vertical="center"/>
    </xf>
    <xf numFmtId="4" fontId="5" fillId="0" borderId="35" xfId="0" applyNumberFormat="1" applyFont="1" applyFill="1" applyBorder="1" applyAlignment="1">
      <alignment horizontal="right" vertical="center"/>
    </xf>
    <xf numFmtId="4" fontId="5" fillId="0" borderId="35" xfId="0" applyNumberFormat="1" applyFont="1" applyFill="1" applyBorder="1"/>
    <xf numFmtId="4" fontId="3" fillId="0" borderId="35" xfId="0" applyNumberFormat="1" applyFont="1" applyFill="1" applyBorder="1"/>
    <xf numFmtId="3" fontId="5" fillId="0" borderId="35" xfId="0" applyNumberFormat="1" applyFont="1" applyFill="1" applyBorder="1"/>
    <xf numFmtId="4" fontId="5" fillId="0" borderId="36" xfId="0" applyNumberFormat="1" applyFont="1" applyFill="1" applyBorder="1"/>
    <xf numFmtId="0" fontId="9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>
      <alignment horizontal="center" vertical="center" wrapText="1"/>
    </xf>
    <xf numFmtId="4" fontId="9" fillId="0" borderId="0" xfId="0" applyNumberFormat="1" applyFont="1" applyFill="1" applyAlignment="1">
      <alignment horizontal="center" vertical="center"/>
    </xf>
    <xf numFmtId="4" fontId="9" fillId="0" borderId="0" xfId="0" applyNumberFormat="1" applyFont="1" applyFill="1" applyAlignment="1">
      <alignment horizontal="right" vertical="center"/>
    </xf>
    <xf numFmtId="0" fontId="9" fillId="0" borderId="0" xfId="0" applyFont="1" applyFill="1" applyAlignment="1">
      <alignment horizontal="center"/>
    </xf>
    <xf numFmtId="4" fontId="3" fillId="0" borderId="0" xfId="0" applyNumberFormat="1" applyFont="1" applyFill="1" applyAlignment="1">
      <alignment horizontal="right" vertical="center"/>
    </xf>
    <xf numFmtId="4" fontId="9" fillId="0" borderId="0" xfId="0" applyNumberFormat="1" applyFont="1" applyFill="1"/>
    <xf numFmtId="4" fontId="4" fillId="0" borderId="0" xfId="0" applyNumberFormat="1" applyFont="1" applyFill="1"/>
    <xf numFmtId="0" fontId="9" fillId="0" borderId="0" xfId="0" applyFont="1" applyFill="1" applyBorder="1" applyAlignment="1">
      <alignment vertical="center"/>
    </xf>
    <xf numFmtId="4" fontId="15" fillId="0" borderId="0" xfId="0" applyNumberFormat="1" applyFont="1" applyFill="1" applyAlignment="1">
      <alignment horizontal="left" wrapText="1"/>
    </xf>
    <xf numFmtId="0" fontId="9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37" xfId="0" applyBorder="1" applyAlignment="1"/>
    <xf numFmtId="0" fontId="0" fillId="0" borderId="0" xfId="0" applyBorder="1" applyAlignment="1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5" fillId="0" borderId="1" xfId="0" applyFont="1" applyBorder="1" applyAlignment="1">
      <alignment textRotation="90"/>
    </xf>
    <xf numFmtId="0" fontId="2" fillId="0" borderId="8" xfId="0" applyFont="1" applyBorder="1" applyAlignment="1"/>
    <xf numFmtId="0" fontId="2" fillId="0" borderId="11" xfId="0" applyFont="1" applyBorder="1" applyAlignment="1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4" fontId="3" fillId="0" borderId="3" xfId="0" applyNumberFormat="1" applyFont="1" applyFill="1" applyBorder="1" applyAlignment="1">
      <alignment horizontal="center" vertical="center" wrapText="1"/>
    </xf>
    <xf numFmtId="4" fontId="3" fillId="0" borderId="9" xfId="0" applyNumberFormat="1" applyFont="1" applyFill="1" applyBorder="1" applyAlignment="1">
      <alignment horizontal="center" vertical="center" wrapText="1"/>
    </xf>
    <xf numFmtId="4" fontId="3" fillId="0" borderId="12" xfId="0" applyNumberFormat="1" applyFont="1" applyFill="1" applyBorder="1" applyAlignment="1">
      <alignment horizontal="center" vertical="center" wrapText="1"/>
    </xf>
    <xf numFmtId="0" fontId="5" fillId="0" borderId="8" xfId="0" applyFont="1" applyBorder="1" applyAlignment="1">
      <alignment textRotation="90"/>
    </xf>
    <xf numFmtId="0" fontId="5" fillId="0" borderId="11" xfId="0" applyFont="1" applyBorder="1" applyAlignment="1">
      <alignment textRotation="90"/>
    </xf>
    <xf numFmtId="0" fontId="0" fillId="0" borderId="1" xfId="0" applyBorder="1" applyAlignment="1"/>
    <xf numFmtId="0" fontId="0" fillId="0" borderId="8" xfId="0" applyBorder="1" applyAlignment="1"/>
    <xf numFmtId="0" fontId="0" fillId="0" borderId="11" xfId="0" applyBorder="1" applyAlignment="1"/>
  </cellXfs>
  <cellStyles count="2">
    <cellStyle name="Обычный" xfId="0" builtinId="0"/>
    <cellStyle name="Обычный_З.п. (ноч.внутр.) - АПРЕЛЬ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AE87"/>
  <sheetViews>
    <sheetView topLeftCell="A10" workbookViewId="0">
      <selection activeCell="A14" sqref="A14:AA14"/>
    </sheetView>
  </sheetViews>
  <sheetFormatPr defaultColWidth="9.1796875" defaultRowHeight="16.5"/>
  <cols>
    <col min="1" max="1" width="3.26953125" style="152" customWidth="1"/>
    <col min="2" max="2" width="4.26953125" style="152" customWidth="1"/>
    <col min="3" max="3" width="30.81640625" style="153" customWidth="1"/>
    <col min="4" max="4" width="8.54296875" style="154" customWidth="1"/>
    <col min="5" max="5" width="10.26953125" style="154" customWidth="1"/>
    <col min="6" max="6" width="13.1796875" style="155" customWidth="1"/>
    <col min="7" max="7" width="13" style="156" customWidth="1"/>
    <col min="8" max="8" width="5" style="157" customWidth="1"/>
    <col min="9" max="9" width="12.26953125" style="156" customWidth="1"/>
    <col min="10" max="10" width="11.26953125" style="156" customWidth="1"/>
    <col min="11" max="11" width="11.7265625" style="156" customWidth="1"/>
    <col min="12" max="13" width="10.7265625" style="156" customWidth="1"/>
    <col min="14" max="14" width="12" style="158" customWidth="1"/>
    <col min="15" max="15" width="11.81640625" style="159" customWidth="1"/>
    <col min="16" max="16" width="11.1796875" style="159" customWidth="1"/>
    <col min="17" max="17" width="10.54296875" style="159" customWidth="1"/>
    <col min="18" max="18" width="12" style="159" customWidth="1"/>
    <col min="19" max="19" width="12.7265625" style="159" customWidth="1"/>
    <col min="20" max="20" width="9.81640625" style="159" customWidth="1"/>
    <col min="21" max="21" width="8" style="159" customWidth="1"/>
    <col min="22" max="22" width="11.1796875" style="159" customWidth="1"/>
    <col min="23" max="23" width="15.1796875" style="160" customWidth="1"/>
    <col min="24" max="25" width="12.1796875" style="159" customWidth="1"/>
    <col min="26" max="26" width="14.453125" style="159" customWidth="1"/>
    <col min="27" max="27" width="7.26953125" style="159" customWidth="1"/>
    <col min="28" max="28" width="9.1796875" style="46" customWidth="1"/>
    <col min="29" max="29" width="11.453125" style="46" bestFit="1" customWidth="1"/>
    <col min="30" max="16384" width="9.1796875" style="46"/>
  </cols>
  <sheetData>
    <row r="6" spans="1:27" s="3" customFormat="1" ht="15">
      <c r="A6" s="1" t="s">
        <v>0</v>
      </c>
      <c r="B6" s="1"/>
      <c r="C6" s="1"/>
      <c r="D6" s="1"/>
      <c r="E6" s="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s="3" customFormat="1">
      <c r="A7" s="1"/>
      <c r="B7" s="1"/>
      <c r="C7" s="1"/>
      <c r="D7" s="1"/>
      <c r="E7" s="1"/>
      <c r="F7" s="4"/>
      <c r="H7" s="4"/>
      <c r="I7" s="5"/>
      <c r="N7" s="6"/>
      <c r="W7" s="7"/>
    </row>
    <row r="8" spans="1:27" s="3" customFormat="1">
      <c r="A8" s="1"/>
      <c r="B8" s="1"/>
      <c r="C8" s="1"/>
      <c r="D8" s="1"/>
      <c r="E8" s="1"/>
      <c r="F8" s="4"/>
      <c r="H8" s="4"/>
      <c r="N8" s="6"/>
      <c r="O8" s="5"/>
      <c r="P8" s="5"/>
      <c r="Q8" s="5"/>
      <c r="R8" s="5"/>
      <c r="S8" s="5"/>
      <c r="T8" s="5"/>
      <c r="U8" s="5"/>
      <c r="V8" s="5"/>
      <c r="W8" s="7"/>
      <c r="X8" s="5"/>
      <c r="Y8" s="5"/>
    </row>
    <row r="9" spans="1:27" s="3" customFormat="1" ht="14">
      <c r="A9" s="8" t="s">
        <v>1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s="3" customFormat="1" ht="14">
      <c r="A10" s="8" t="s">
        <v>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s="3" customFormat="1" ht="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s="3" customFormat="1" ht="14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s="3" customFormat="1" ht="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s="3" customFormat="1" ht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6" spans="1:27" s="21" customFormat="1" ht="13">
      <c r="A16" s="11" t="s">
        <v>3</v>
      </c>
      <c r="B16" s="12"/>
      <c r="C16" s="11" t="s">
        <v>4</v>
      </c>
      <c r="D16" s="13" t="s">
        <v>5</v>
      </c>
      <c r="E16" s="14"/>
      <c r="F16" s="11" t="s">
        <v>6</v>
      </c>
      <c r="G16" s="11" t="s">
        <v>7</v>
      </c>
      <c r="H16" s="11" t="s">
        <v>8</v>
      </c>
      <c r="I16" s="15" t="s">
        <v>9</v>
      </c>
      <c r="J16" s="16" t="s">
        <v>10</v>
      </c>
      <c r="K16" s="17"/>
      <c r="L16" s="15" t="s">
        <v>11</v>
      </c>
      <c r="M16" s="15" t="s">
        <v>12</v>
      </c>
      <c r="N16" s="18" t="s">
        <v>13</v>
      </c>
      <c r="O16" s="16" t="s">
        <v>14</v>
      </c>
      <c r="P16" s="17"/>
      <c r="Q16" s="16" t="s">
        <v>15</v>
      </c>
      <c r="R16" s="17"/>
      <c r="S16" s="16" t="s">
        <v>16</v>
      </c>
      <c r="T16" s="19"/>
      <c r="U16" s="17"/>
      <c r="V16" s="15" t="s">
        <v>17</v>
      </c>
      <c r="W16" s="20" t="s">
        <v>18</v>
      </c>
      <c r="X16" s="11" t="s">
        <v>19</v>
      </c>
      <c r="Y16" s="11" t="s">
        <v>20</v>
      </c>
      <c r="Z16" s="15" t="s">
        <v>21</v>
      </c>
      <c r="AA16" s="15" t="s">
        <v>22</v>
      </c>
    </row>
    <row r="17" spans="1:28" s="21" customFormat="1" ht="13">
      <c r="A17" s="22"/>
      <c r="B17" s="11" t="s">
        <v>23</v>
      </c>
      <c r="C17" s="22"/>
      <c r="D17" s="23"/>
      <c r="E17" s="24"/>
      <c r="F17" s="22"/>
      <c r="G17" s="22"/>
      <c r="H17" s="22"/>
      <c r="I17" s="25"/>
      <c r="J17" s="15" t="s">
        <v>24</v>
      </c>
      <c r="K17" s="15" t="s">
        <v>25</v>
      </c>
      <c r="L17" s="25"/>
      <c r="M17" s="25"/>
      <c r="N17" s="26"/>
      <c r="O17" s="15" t="s">
        <v>26</v>
      </c>
      <c r="P17" s="15" t="s">
        <v>27</v>
      </c>
      <c r="Q17" s="15" t="s">
        <v>28</v>
      </c>
      <c r="R17" s="15" t="s">
        <v>29</v>
      </c>
      <c r="S17" s="15" t="s">
        <v>30</v>
      </c>
      <c r="T17" s="15" t="s">
        <v>31</v>
      </c>
      <c r="U17" s="15" t="s">
        <v>32</v>
      </c>
      <c r="V17" s="25"/>
      <c r="W17" s="27"/>
      <c r="X17" s="22"/>
      <c r="Y17" s="22"/>
      <c r="Z17" s="25"/>
      <c r="AA17" s="25"/>
      <c r="AB17" s="28"/>
    </row>
    <row r="18" spans="1:28" s="21" customFormat="1" ht="13">
      <c r="A18" s="29"/>
      <c r="B18" s="29"/>
      <c r="C18" s="29"/>
      <c r="D18" s="30"/>
      <c r="E18" s="31"/>
      <c r="F18" s="29"/>
      <c r="G18" s="29"/>
      <c r="H18" s="29"/>
      <c r="I18" s="32"/>
      <c r="J18" s="32"/>
      <c r="K18" s="32"/>
      <c r="L18" s="32"/>
      <c r="M18" s="32"/>
      <c r="N18" s="33"/>
      <c r="O18" s="32"/>
      <c r="P18" s="32"/>
      <c r="Q18" s="32"/>
      <c r="R18" s="32"/>
      <c r="S18" s="32"/>
      <c r="T18" s="32"/>
      <c r="U18" s="32"/>
      <c r="V18" s="32"/>
      <c r="W18" s="34"/>
      <c r="X18" s="29"/>
      <c r="Y18" s="29"/>
      <c r="Z18" s="32"/>
      <c r="AA18" s="32"/>
      <c r="AB18" s="28"/>
    </row>
    <row r="19" spans="1:28" s="41" customFormat="1">
      <c r="A19" s="35" t="s">
        <v>33</v>
      </c>
      <c r="B19" s="35"/>
      <c r="C19" s="35" t="s">
        <v>34</v>
      </c>
      <c r="D19" s="36" t="s">
        <v>35</v>
      </c>
      <c r="E19" s="37"/>
      <c r="F19" s="38" t="s">
        <v>36</v>
      </c>
      <c r="G19" s="35" t="s">
        <v>37</v>
      </c>
      <c r="H19" s="35" t="s">
        <v>38</v>
      </c>
      <c r="I19" s="35" t="s">
        <v>39</v>
      </c>
      <c r="J19" s="35" t="s">
        <v>40</v>
      </c>
      <c r="K19" s="35" t="s">
        <v>41</v>
      </c>
      <c r="L19" s="35" t="s">
        <v>42</v>
      </c>
      <c r="M19" s="35" t="s">
        <v>43</v>
      </c>
      <c r="N19" s="39" t="s">
        <v>44</v>
      </c>
      <c r="O19" s="35" t="s">
        <v>45</v>
      </c>
      <c r="P19" s="35" t="s">
        <v>46</v>
      </c>
      <c r="Q19" s="35" t="s">
        <v>47</v>
      </c>
      <c r="R19" s="35" t="s">
        <v>48</v>
      </c>
      <c r="S19" s="35" t="s">
        <v>49</v>
      </c>
      <c r="T19" s="35" t="s">
        <v>50</v>
      </c>
      <c r="U19" s="35" t="s">
        <v>51</v>
      </c>
      <c r="V19" s="35" t="s">
        <v>52</v>
      </c>
      <c r="W19" s="40" t="s">
        <v>53</v>
      </c>
      <c r="X19" s="35" t="s">
        <v>54</v>
      </c>
      <c r="Y19" s="35"/>
      <c r="Z19" s="35" t="s">
        <v>55</v>
      </c>
      <c r="AA19" s="35" t="s">
        <v>56</v>
      </c>
    </row>
    <row r="20" spans="1:28" ht="18" thickBot="1">
      <c r="A20" s="42" t="s">
        <v>57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4"/>
      <c r="AB20" s="45"/>
    </row>
    <row r="21" spans="1:28" s="58" customFormat="1" ht="15.5">
      <c r="A21" s="47">
        <v>1</v>
      </c>
      <c r="B21" s="48">
        <v>1</v>
      </c>
      <c r="C21" s="49" t="s">
        <v>58</v>
      </c>
      <c r="D21" s="50" t="s">
        <v>59</v>
      </c>
      <c r="E21" s="51"/>
      <c r="F21" s="52" t="s">
        <v>60</v>
      </c>
      <c r="G21" s="53">
        <v>16000</v>
      </c>
      <c r="H21" s="52">
        <v>2</v>
      </c>
      <c r="I21" s="54">
        <f>G21</f>
        <v>16000</v>
      </c>
      <c r="J21" s="54">
        <v>3200</v>
      </c>
      <c r="K21" s="54">
        <f>(G21+I21+O21+P21+N21+J21)*50%</f>
        <v>40665</v>
      </c>
      <c r="L21" s="54"/>
      <c r="M21" s="54"/>
      <c r="N21" s="55">
        <f>22800+23330</f>
        <v>46130</v>
      </c>
      <c r="O21" s="54"/>
      <c r="P21" s="54"/>
      <c r="Q21" s="54"/>
      <c r="R21" s="54"/>
      <c r="S21" s="54"/>
      <c r="T21" s="54"/>
      <c r="U21" s="54"/>
      <c r="V21" s="54"/>
      <c r="W21" s="56">
        <f t="shared" ref="W21:W26" si="0">G21+I21+J21+K21+M21+N21+O21+P21+Q21+R21+S21+T21+U21+V21</f>
        <v>121995</v>
      </c>
      <c r="X21" s="54"/>
      <c r="Y21" s="54"/>
      <c r="Z21" s="54">
        <f t="shared" ref="Z21:Z26" si="1">W21-X21</f>
        <v>121995</v>
      </c>
      <c r="AA21" s="57"/>
    </row>
    <row r="22" spans="1:28" s="58" customFormat="1" ht="15.5">
      <c r="A22" s="59">
        <v>2</v>
      </c>
      <c r="B22" s="60">
        <v>2</v>
      </c>
      <c r="C22" s="61" t="s">
        <v>61</v>
      </c>
      <c r="D22" s="62" t="s">
        <v>62</v>
      </c>
      <c r="E22" s="63"/>
      <c r="F22" s="64" t="s">
        <v>63</v>
      </c>
      <c r="G22" s="65">
        <v>10000</v>
      </c>
      <c r="H22" s="64"/>
      <c r="I22" s="66"/>
      <c r="J22" s="66"/>
      <c r="K22" s="66"/>
      <c r="L22" s="66"/>
      <c r="M22" s="66"/>
      <c r="N22" s="67">
        <v>25000</v>
      </c>
      <c r="O22" s="66"/>
      <c r="P22" s="66"/>
      <c r="Q22" s="66"/>
      <c r="R22" s="66"/>
      <c r="S22" s="66"/>
      <c r="T22" s="66"/>
      <c r="U22" s="66"/>
      <c r="V22" s="66"/>
      <c r="W22" s="68">
        <f t="shared" si="0"/>
        <v>35000</v>
      </c>
      <c r="X22" s="66"/>
      <c r="Y22" s="66"/>
      <c r="Z22" s="66">
        <f t="shared" si="1"/>
        <v>35000</v>
      </c>
      <c r="AA22" s="69"/>
    </row>
    <row r="23" spans="1:28" s="58" customFormat="1" ht="15.5">
      <c r="A23" s="59">
        <v>3</v>
      </c>
      <c r="B23" s="70">
        <v>3</v>
      </c>
      <c r="C23" s="61" t="s">
        <v>64</v>
      </c>
      <c r="D23" s="62" t="s">
        <v>65</v>
      </c>
      <c r="E23" s="63"/>
      <c r="F23" s="64" t="s">
        <v>63</v>
      </c>
      <c r="G23" s="65">
        <v>7000</v>
      </c>
      <c r="H23" s="64"/>
      <c r="I23" s="66"/>
      <c r="J23" s="66"/>
      <c r="K23" s="66"/>
      <c r="L23" s="66"/>
      <c r="M23" s="66"/>
      <c r="N23" s="67">
        <v>18000</v>
      </c>
      <c r="O23" s="66"/>
      <c r="P23" s="66"/>
      <c r="Q23" s="66"/>
      <c r="R23" s="66"/>
      <c r="S23" s="66"/>
      <c r="T23" s="66"/>
      <c r="U23" s="66"/>
      <c r="V23" s="66"/>
      <c r="W23" s="68">
        <f t="shared" si="0"/>
        <v>25000</v>
      </c>
      <c r="X23" s="66"/>
      <c r="Y23" s="66"/>
      <c r="Z23" s="66">
        <f t="shared" si="1"/>
        <v>25000</v>
      </c>
      <c r="AA23" s="69"/>
    </row>
    <row r="24" spans="1:28" s="58" customFormat="1" ht="15.5">
      <c r="A24" s="59">
        <v>4</v>
      </c>
      <c r="B24" s="60">
        <v>4</v>
      </c>
      <c r="C24" s="61" t="s">
        <v>66</v>
      </c>
      <c r="D24" s="62" t="s">
        <v>67</v>
      </c>
      <c r="E24" s="63"/>
      <c r="F24" s="64" t="s">
        <v>68</v>
      </c>
      <c r="G24" s="71">
        <v>5333.33</v>
      </c>
      <c r="H24" s="64"/>
      <c r="I24" s="66"/>
      <c r="J24" s="66"/>
      <c r="K24" s="66"/>
      <c r="L24" s="66"/>
      <c r="M24" s="66"/>
      <c r="N24" s="67">
        <f>18000-2585.03</f>
        <v>15414.97</v>
      </c>
      <c r="O24" s="66"/>
      <c r="P24" s="66"/>
      <c r="Q24" s="66"/>
      <c r="R24" s="66"/>
      <c r="S24" s="66"/>
      <c r="T24" s="66">
        <v>4251.7</v>
      </c>
      <c r="U24" s="66"/>
      <c r="V24" s="66"/>
      <c r="W24" s="68">
        <f t="shared" si="0"/>
        <v>25000</v>
      </c>
      <c r="X24" s="66"/>
      <c r="Y24" s="66"/>
      <c r="Z24" s="66">
        <f t="shared" si="1"/>
        <v>25000</v>
      </c>
      <c r="AA24" s="69"/>
    </row>
    <row r="25" spans="1:28" s="58" customFormat="1" ht="15.5">
      <c r="A25" s="59">
        <v>5</v>
      </c>
      <c r="B25" s="70">
        <v>5</v>
      </c>
      <c r="C25" s="61" t="s">
        <v>69</v>
      </c>
      <c r="D25" s="62" t="s">
        <v>70</v>
      </c>
      <c r="E25" s="63"/>
      <c r="F25" s="64" t="s">
        <v>60</v>
      </c>
      <c r="G25" s="65">
        <v>7710</v>
      </c>
      <c r="H25" s="64">
        <v>2</v>
      </c>
      <c r="I25" s="66">
        <f>G25</f>
        <v>7710</v>
      </c>
      <c r="J25" s="66"/>
      <c r="K25" s="72">
        <f>(G25+I25+O25+P25+N25+J25)*40%</f>
        <v>7560</v>
      </c>
      <c r="L25" s="66"/>
      <c r="M25" s="66"/>
      <c r="N25" s="67">
        <v>3480</v>
      </c>
      <c r="O25" s="66"/>
      <c r="P25" s="66"/>
      <c r="Q25" s="66"/>
      <c r="R25" s="66"/>
      <c r="S25" s="66"/>
      <c r="T25" s="66"/>
      <c r="U25" s="66"/>
      <c r="V25" s="66"/>
      <c r="W25" s="68">
        <f t="shared" si="0"/>
        <v>26460</v>
      </c>
      <c r="X25" s="66"/>
      <c r="Y25" s="66"/>
      <c r="Z25" s="66">
        <f t="shared" si="1"/>
        <v>26460</v>
      </c>
      <c r="AA25" s="69"/>
    </row>
    <row r="26" spans="1:28" s="58" customFormat="1" ht="15.5">
      <c r="A26" s="59">
        <v>6</v>
      </c>
      <c r="B26" s="73">
        <v>6</v>
      </c>
      <c r="C26" s="74" t="s">
        <v>71</v>
      </c>
      <c r="D26" s="62" t="s">
        <v>72</v>
      </c>
      <c r="E26" s="63"/>
      <c r="F26" s="75"/>
      <c r="G26" s="66"/>
      <c r="H26" s="76"/>
      <c r="I26" s="66"/>
      <c r="J26" s="66"/>
      <c r="K26" s="66">
        <f>(G26+I26+O26+P26)*50%</f>
        <v>0</v>
      </c>
      <c r="L26" s="66"/>
      <c r="M26" s="66"/>
      <c r="N26" s="77"/>
      <c r="O26" s="66"/>
      <c r="P26" s="66"/>
      <c r="Q26" s="66"/>
      <c r="R26" s="66"/>
      <c r="S26" s="66"/>
      <c r="T26" s="66"/>
      <c r="U26" s="66"/>
      <c r="V26" s="66"/>
      <c r="W26" s="68">
        <f t="shared" si="0"/>
        <v>0</v>
      </c>
      <c r="X26" s="66"/>
      <c r="Y26" s="66"/>
      <c r="Z26" s="66">
        <f t="shared" si="1"/>
        <v>0</v>
      </c>
      <c r="AA26" s="69"/>
    </row>
    <row r="27" spans="1:28" s="58" customFormat="1" ht="16" thickBot="1">
      <c r="A27" s="78" t="s">
        <v>73</v>
      </c>
      <c r="B27" s="79"/>
      <c r="C27" s="79"/>
      <c r="D27" s="79"/>
      <c r="E27" s="80"/>
      <c r="F27" s="81"/>
      <c r="G27" s="82">
        <f>SUM(G21:G26)</f>
        <v>46043.33</v>
      </c>
      <c r="H27" s="83"/>
      <c r="I27" s="84">
        <f>SUM(I21:I26)</f>
        <v>23710</v>
      </c>
      <c r="J27" s="84">
        <f>SUM(J21:J26)</f>
        <v>3200</v>
      </c>
      <c r="K27" s="84">
        <f>SUM(K21:K26)</f>
        <v>48225</v>
      </c>
      <c r="L27" s="84">
        <f>SUM(L21:L26)</f>
        <v>0</v>
      </c>
      <c r="M27" s="84"/>
      <c r="N27" s="85">
        <f t="shared" ref="N27:AA27" si="2">SUM(N21:N26)</f>
        <v>108024.97</v>
      </c>
      <c r="O27" s="84">
        <f t="shared" si="2"/>
        <v>0</v>
      </c>
      <c r="P27" s="84">
        <f t="shared" si="2"/>
        <v>0</v>
      </c>
      <c r="Q27" s="84">
        <f t="shared" si="2"/>
        <v>0</v>
      </c>
      <c r="R27" s="84">
        <f t="shared" si="2"/>
        <v>0</v>
      </c>
      <c r="S27" s="84">
        <f t="shared" si="2"/>
        <v>0</v>
      </c>
      <c r="T27" s="84">
        <f t="shared" si="2"/>
        <v>4251.7</v>
      </c>
      <c r="U27" s="84">
        <f t="shared" si="2"/>
        <v>0</v>
      </c>
      <c r="V27" s="84">
        <f t="shared" si="2"/>
        <v>0</v>
      </c>
      <c r="W27" s="84">
        <f t="shared" si="2"/>
        <v>233455</v>
      </c>
      <c r="X27" s="84">
        <f t="shared" si="2"/>
        <v>0</v>
      </c>
      <c r="Y27" s="84">
        <f t="shared" si="2"/>
        <v>0</v>
      </c>
      <c r="Z27" s="84">
        <f t="shared" si="2"/>
        <v>233455</v>
      </c>
      <c r="AA27" s="84">
        <f t="shared" si="2"/>
        <v>0</v>
      </c>
    </row>
    <row r="28" spans="1:28" s="87" customFormat="1" ht="18" thickBot="1">
      <c r="A28" s="86" t="s">
        <v>74</v>
      </c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</row>
    <row r="29" spans="1:28" s="97" customFormat="1" ht="15.5">
      <c r="A29" s="47">
        <v>1</v>
      </c>
      <c r="B29" s="48">
        <v>7</v>
      </c>
      <c r="C29" s="88" t="s">
        <v>75</v>
      </c>
      <c r="D29" s="89" t="s">
        <v>76</v>
      </c>
      <c r="E29" s="89"/>
      <c r="F29" s="90" t="s">
        <v>77</v>
      </c>
      <c r="G29" s="91">
        <v>10000</v>
      </c>
      <c r="H29" s="52">
        <v>2</v>
      </c>
      <c r="I29" s="54">
        <f t="shared" ref="I29:I81" si="3">G29</f>
        <v>10000</v>
      </c>
      <c r="J29" s="54"/>
      <c r="K29" s="54">
        <f>(G29+I29+O29+P29+N29)*50%</f>
        <v>14700</v>
      </c>
      <c r="L29" s="54"/>
      <c r="M29" s="92"/>
      <c r="N29" s="93">
        <v>9400</v>
      </c>
      <c r="O29" s="94"/>
      <c r="P29" s="94"/>
      <c r="Q29" s="94"/>
      <c r="R29" s="94"/>
      <c r="S29" s="94"/>
      <c r="T29" s="94"/>
      <c r="U29" s="94"/>
      <c r="V29" s="94"/>
      <c r="W29" s="56">
        <f t="shared" ref="W29:W66" si="4">G29+I29+J29+K29+M29+N29+O29+P29+Q29+R29+S29+T29+U29+V29</f>
        <v>44100</v>
      </c>
      <c r="X29" s="94"/>
      <c r="Y29" s="94"/>
      <c r="Z29" s="54">
        <f t="shared" ref="Z29:Z69" si="5">W29-X29</f>
        <v>44100</v>
      </c>
      <c r="AA29" s="95"/>
      <c r="AB29" s="96"/>
    </row>
    <row r="30" spans="1:28" s="97" customFormat="1" ht="16" thickBot="1">
      <c r="A30" s="98">
        <v>2</v>
      </c>
      <c r="B30" s="99">
        <v>8</v>
      </c>
      <c r="C30" s="100" t="s">
        <v>78</v>
      </c>
      <c r="D30" s="101" t="s">
        <v>79</v>
      </c>
      <c r="E30" s="101"/>
      <c r="F30" s="102" t="s">
        <v>77</v>
      </c>
      <c r="G30" s="103">
        <v>8840</v>
      </c>
      <c r="H30" s="104">
        <v>2</v>
      </c>
      <c r="I30" s="105">
        <f t="shared" si="3"/>
        <v>8840</v>
      </c>
      <c r="J30" s="105"/>
      <c r="K30" s="105">
        <f>(G30+I30+O30+P30+N30)*50%</f>
        <v>12760</v>
      </c>
      <c r="L30" s="105"/>
      <c r="M30" s="106"/>
      <c r="N30" s="107">
        <v>7840</v>
      </c>
      <c r="O30" s="108"/>
      <c r="P30" s="108"/>
      <c r="Q30" s="108"/>
      <c r="R30" s="108"/>
      <c r="S30" s="108"/>
      <c r="T30" s="108"/>
      <c r="U30" s="108"/>
      <c r="V30" s="108"/>
      <c r="W30" s="109">
        <f t="shared" si="4"/>
        <v>38280</v>
      </c>
      <c r="X30" s="108"/>
      <c r="Y30" s="108"/>
      <c r="Z30" s="105">
        <f t="shared" si="5"/>
        <v>38280</v>
      </c>
      <c r="AA30" s="110"/>
      <c r="AB30" s="96"/>
    </row>
    <row r="31" spans="1:28" s="97" customFormat="1" ht="16" thickBot="1">
      <c r="A31" s="47">
        <v>3</v>
      </c>
      <c r="B31" s="48">
        <v>9</v>
      </c>
      <c r="C31" s="88" t="s">
        <v>80</v>
      </c>
      <c r="D31" s="89" t="s">
        <v>81</v>
      </c>
      <c r="E31" s="89"/>
      <c r="F31" s="52" t="s">
        <v>82</v>
      </c>
      <c r="G31" s="111">
        <v>8073.6</v>
      </c>
      <c r="H31" s="52">
        <v>2</v>
      </c>
      <c r="I31" s="54">
        <f t="shared" si="3"/>
        <v>8073.6</v>
      </c>
      <c r="J31" s="54"/>
      <c r="K31" s="54">
        <f>(G31+I31+O31+P31+N31)*50%</f>
        <v>10311.5</v>
      </c>
      <c r="L31" s="54"/>
      <c r="M31" s="92"/>
      <c r="N31" s="93">
        <v>1650</v>
      </c>
      <c r="O31" s="94">
        <f>1076.5*2</f>
        <v>2153</v>
      </c>
      <c r="P31" s="94">
        <v>672.8</v>
      </c>
      <c r="Q31" s="94">
        <v>3608.22</v>
      </c>
      <c r="R31" s="94">
        <v>2405.48</v>
      </c>
      <c r="S31" s="94"/>
      <c r="T31" s="94"/>
      <c r="U31" s="94"/>
      <c r="V31" s="94"/>
      <c r="W31" s="56">
        <f t="shared" si="4"/>
        <v>36948.200000000004</v>
      </c>
      <c r="X31" s="94"/>
      <c r="Y31" s="94"/>
      <c r="Z31" s="54">
        <f t="shared" si="5"/>
        <v>36948.200000000004</v>
      </c>
      <c r="AA31" s="95"/>
      <c r="AB31" s="96"/>
    </row>
    <row r="32" spans="1:28" s="97" customFormat="1" ht="15.5">
      <c r="A32" s="59">
        <v>4</v>
      </c>
      <c r="B32" s="48">
        <v>10</v>
      </c>
      <c r="C32" s="112" t="s">
        <v>83</v>
      </c>
      <c r="D32" s="113" t="s">
        <v>84</v>
      </c>
      <c r="E32" s="113"/>
      <c r="F32" s="64" t="s">
        <v>85</v>
      </c>
      <c r="G32" s="65">
        <v>6808.1</v>
      </c>
      <c r="H32" s="64">
        <v>2</v>
      </c>
      <c r="I32" s="66">
        <f t="shared" si="3"/>
        <v>6808.1</v>
      </c>
      <c r="J32" s="66"/>
      <c r="K32" s="66">
        <f>(G32+I32+O32+P32+N32)*50%</f>
        <v>8473.1</v>
      </c>
      <c r="L32" s="66"/>
      <c r="M32" s="114"/>
      <c r="N32" s="115">
        <v>3330</v>
      </c>
      <c r="O32" s="116"/>
      <c r="P32" s="116"/>
      <c r="Q32" s="116"/>
      <c r="R32" s="116"/>
      <c r="S32" s="116">
        <v>31713.39</v>
      </c>
      <c r="T32" s="116"/>
      <c r="U32" s="116"/>
      <c r="V32" s="116"/>
      <c r="W32" s="68">
        <f t="shared" si="4"/>
        <v>57132.69</v>
      </c>
      <c r="X32" s="116"/>
      <c r="Y32" s="116"/>
      <c r="Z32" s="66">
        <f t="shared" si="5"/>
        <v>57132.69</v>
      </c>
      <c r="AA32" s="117"/>
      <c r="AB32" s="96"/>
    </row>
    <row r="33" spans="1:31" s="97" customFormat="1" ht="25.5" customHeight="1" thickBot="1">
      <c r="A33" s="59">
        <v>5</v>
      </c>
      <c r="B33" s="99">
        <v>11</v>
      </c>
      <c r="C33" s="112" t="s">
        <v>86</v>
      </c>
      <c r="D33" s="113" t="s">
        <v>84</v>
      </c>
      <c r="E33" s="113"/>
      <c r="F33" s="64" t="s">
        <v>87</v>
      </c>
      <c r="G33" s="65">
        <v>8410</v>
      </c>
      <c r="H33" s="64">
        <v>2</v>
      </c>
      <c r="I33" s="66">
        <f t="shared" si="3"/>
        <v>8410</v>
      </c>
      <c r="J33" s="66"/>
      <c r="K33" s="66">
        <f>(G33+I33+O33+P33+N33)*50%</f>
        <v>11086.58</v>
      </c>
      <c r="L33" s="66"/>
      <c r="M33" s="114"/>
      <c r="N33" s="115">
        <v>1720</v>
      </c>
      <c r="O33" s="116">
        <f>1143.78*2</f>
        <v>2287.56</v>
      </c>
      <c r="P33" s="116">
        <v>1345.6</v>
      </c>
      <c r="Q33" s="116"/>
      <c r="R33" s="116"/>
      <c r="S33" s="116"/>
      <c r="T33" s="116"/>
      <c r="U33" s="116"/>
      <c r="V33" s="116"/>
      <c r="W33" s="68">
        <f t="shared" si="4"/>
        <v>33259.740000000005</v>
      </c>
      <c r="X33" s="116"/>
      <c r="Y33" s="116"/>
      <c r="Z33" s="66">
        <f t="shared" si="5"/>
        <v>33259.740000000005</v>
      </c>
      <c r="AA33" s="117"/>
      <c r="AB33" s="118"/>
      <c r="AC33" s="118"/>
      <c r="AD33" s="118"/>
      <c r="AE33" s="118"/>
    </row>
    <row r="34" spans="1:31" s="97" customFormat="1" ht="25.5" customHeight="1" thickBot="1">
      <c r="A34" s="59">
        <v>6</v>
      </c>
      <c r="B34" s="48">
        <v>12</v>
      </c>
      <c r="C34" s="112" t="s">
        <v>88</v>
      </c>
      <c r="D34" s="113" t="s">
        <v>84</v>
      </c>
      <c r="E34" s="113"/>
      <c r="F34" s="64" t="s">
        <v>77</v>
      </c>
      <c r="G34" s="65">
        <v>8410</v>
      </c>
      <c r="H34" s="64">
        <v>2</v>
      </c>
      <c r="I34" s="66">
        <f t="shared" si="3"/>
        <v>8410</v>
      </c>
      <c r="J34" s="66"/>
      <c r="K34" s="66">
        <f>(G34+I34+O34+P34+N34)*30%</f>
        <v>6375</v>
      </c>
      <c r="L34" s="66"/>
      <c r="M34" s="114"/>
      <c r="N34" s="115">
        <v>4430</v>
      </c>
      <c r="O34" s="116"/>
      <c r="P34" s="116"/>
      <c r="Q34" s="116"/>
      <c r="R34" s="116"/>
      <c r="S34" s="116"/>
      <c r="T34" s="116"/>
      <c r="U34" s="116"/>
      <c r="V34" s="116"/>
      <c r="W34" s="68">
        <f t="shared" si="4"/>
        <v>27625</v>
      </c>
      <c r="X34" s="116"/>
      <c r="Y34" s="116"/>
      <c r="Z34" s="66">
        <f t="shared" si="5"/>
        <v>27625</v>
      </c>
      <c r="AA34" s="117"/>
      <c r="AB34" s="96"/>
    </row>
    <row r="35" spans="1:31" s="97" customFormat="1" ht="25.5" customHeight="1">
      <c r="A35" s="59">
        <v>7</v>
      </c>
      <c r="B35" s="48">
        <v>13</v>
      </c>
      <c r="C35" s="112" t="s">
        <v>89</v>
      </c>
      <c r="D35" s="113" t="s">
        <v>84</v>
      </c>
      <c r="E35" s="113"/>
      <c r="F35" s="64" t="s">
        <v>90</v>
      </c>
      <c r="G35" s="65">
        <v>7933.43</v>
      </c>
      <c r="H35" s="64">
        <v>2</v>
      </c>
      <c r="I35" s="66">
        <f t="shared" si="3"/>
        <v>7933.43</v>
      </c>
      <c r="J35" s="66"/>
      <c r="K35" s="66">
        <f t="shared" ref="K35:K40" si="6">(G35+I35+O35+P35+N35)*50%</f>
        <v>10250.51</v>
      </c>
      <c r="L35" s="66"/>
      <c r="M35" s="114"/>
      <c r="N35" s="115">
        <v>1530</v>
      </c>
      <c r="O35" s="116">
        <f>1215.72*2</f>
        <v>2431.44</v>
      </c>
      <c r="P35" s="116">
        <v>672.72</v>
      </c>
      <c r="Q35" s="116"/>
      <c r="R35" s="116"/>
      <c r="S35" s="116"/>
      <c r="T35" s="116"/>
      <c r="U35" s="116"/>
      <c r="V35" s="116"/>
      <c r="W35" s="68">
        <f t="shared" si="4"/>
        <v>30751.530000000002</v>
      </c>
      <c r="X35" s="116"/>
      <c r="Y35" s="116"/>
      <c r="Z35" s="66">
        <f t="shared" si="5"/>
        <v>30751.530000000002</v>
      </c>
      <c r="AA35" s="117"/>
      <c r="AB35" s="96"/>
    </row>
    <row r="36" spans="1:31" s="97" customFormat="1" ht="25.5" customHeight="1" thickBot="1">
      <c r="A36" s="59">
        <v>8</v>
      </c>
      <c r="B36" s="99">
        <v>14</v>
      </c>
      <c r="C36" s="112" t="s">
        <v>91</v>
      </c>
      <c r="D36" s="113" t="s">
        <v>84</v>
      </c>
      <c r="E36" s="113"/>
      <c r="F36" s="64" t="s">
        <v>82</v>
      </c>
      <c r="G36" s="65">
        <v>8073.6</v>
      </c>
      <c r="H36" s="64">
        <v>2</v>
      </c>
      <c r="I36" s="66">
        <f t="shared" si="3"/>
        <v>8073.6</v>
      </c>
      <c r="J36" s="66"/>
      <c r="K36" s="66">
        <f t="shared" si="6"/>
        <v>10355.35</v>
      </c>
      <c r="L36" s="66"/>
      <c r="M36" s="114"/>
      <c r="N36" s="115">
        <v>1620</v>
      </c>
      <c r="O36" s="116">
        <f>1121.33*2</f>
        <v>2242.66</v>
      </c>
      <c r="P36" s="116">
        <v>700.84</v>
      </c>
      <c r="Q36" s="116"/>
      <c r="R36" s="116"/>
      <c r="S36" s="116"/>
      <c r="T36" s="116"/>
      <c r="U36" s="116"/>
      <c r="V36" s="116"/>
      <c r="W36" s="68">
        <f t="shared" si="4"/>
        <v>31066.050000000003</v>
      </c>
      <c r="X36" s="119"/>
      <c r="Y36" s="119"/>
      <c r="Z36" s="66">
        <f t="shared" si="5"/>
        <v>31066.050000000003</v>
      </c>
      <c r="AA36" s="117"/>
      <c r="AB36" s="96"/>
    </row>
    <row r="37" spans="1:31" s="97" customFormat="1" ht="25.5" customHeight="1" thickBot="1">
      <c r="A37" s="59">
        <v>9</v>
      </c>
      <c r="B37" s="48">
        <v>15</v>
      </c>
      <c r="C37" s="112" t="s">
        <v>92</v>
      </c>
      <c r="D37" s="113" t="s">
        <v>84</v>
      </c>
      <c r="E37" s="113"/>
      <c r="F37" s="64" t="s">
        <v>77</v>
      </c>
      <c r="G37" s="65">
        <v>8410</v>
      </c>
      <c r="H37" s="64">
        <v>2</v>
      </c>
      <c r="I37" s="66">
        <f t="shared" si="3"/>
        <v>8410</v>
      </c>
      <c r="J37" s="66"/>
      <c r="K37" s="66">
        <f t="shared" si="6"/>
        <v>10975</v>
      </c>
      <c r="L37" s="66"/>
      <c r="M37" s="114"/>
      <c r="N37" s="115">
        <v>5130</v>
      </c>
      <c r="O37" s="116"/>
      <c r="P37" s="116"/>
      <c r="Q37" s="116"/>
      <c r="R37" s="116"/>
      <c r="S37" s="116"/>
      <c r="T37" s="116"/>
      <c r="U37" s="116"/>
      <c r="V37" s="116"/>
      <c r="W37" s="68">
        <f t="shared" si="4"/>
        <v>32925</v>
      </c>
      <c r="X37" s="119"/>
      <c r="Y37" s="119"/>
      <c r="Z37" s="66">
        <f t="shared" si="5"/>
        <v>32925</v>
      </c>
      <c r="AA37" s="117"/>
      <c r="AB37" s="96"/>
    </row>
    <row r="38" spans="1:31" s="97" customFormat="1" ht="25.5" customHeight="1">
      <c r="A38" s="59">
        <v>10</v>
      </c>
      <c r="B38" s="48">
        <v>16</v>
      </c>
      <c r="C38" s="112" t="s">
        <v>93</v>
      </c>
      <c r="D38" s="113" t="s">
        <v>84</v>
      </c>
      <c r="E38" s="113"/>
      <c r="F38" s="64" t="s">
        <v>77</v>
      </c>
      <c r="G38" s="65">
        <v>8410</v>
      </c>
      <c r="H38" s="64">
        <v>2</v>
      </c>
      <c r="I38" s="66">
        <f t="shared" si="3"/>
        <v>8410</v>
      </c>
      <c r="J38" s="66"/>
      <c r="K38" s="66">
        <f t="shared" si="6"/>
        <v>10330</v>
      </c>
      <c r="L38" s="66"/>
      <c r="M38" s="114"/>
      <c r="N38" s="115">
        <v>3840</v>
      </c>
      <c r="O38" s="116"/>
      <c r="P38" s="116"/>
      <c r="Q38" s="116"/>
      <c r="R38" s="116"/>
      <c r="S38" s="116"/>
      <c r="T38" s="116"/>
      <c r="U38" s="116"/>
      <c r="V38" s="116"/>
      <c r="W38" s="68">
        <f t="shared" si="4"/>
        <v>30990</v>
      </c>
      <c r="X38" s="119"/>
      <c r="Y38" s="119"/>
      <c r="Z38" s="66">
        <f t="shared" si="5"/>
        <v>30990</v>
      </c>
      <c r="AA38" s="117"/>
      <c r="AB38" s="96"/>
    </row>
    <row r="39" spans="1:31" s="97" customFormat="1" ht="25.5" customHeight="1" thickBot="1">
      <c r="A39" s="59">
        <v>11</v>
      </c>
      <c r="B39" s="99">
        <v>17</v>
      </c>
      <c r="C39" s="112" t="s">
        <v>94</v>
      </c>
      <c r="D39" s="113" t="s">
        <v>84</v>
      </c>
      <c r="E39" s="113"/>
      <c r="F39" s="64" t="s">
        <v>87</v>
      </c>
      <c r="G39" s="65">
        <v>8410</v>
      </c>
      <c r="H39" s="64">
        <v>2</v>
      </c>
      <c r="I39" s="66">
        <f t="shared" si="3"/>
        <v>8410</v>
      </c>
      <c r="J39" s="66"/>
      <c r="K39" s="66">
        <f t="shared" si="6"/>
        <v>10615.619999999999</v>
      </c>
      <c r="L39" s="66"/>
      <c r="M39" s="114"/>
      <c r="N39" s="115">
        <v>1720</v>
      </c>
      <c r="O39" s="116">
        <f>1009.22*2</f>
        <v>2018.44</v>
      </c>
      <c r="P39" s="116">
        <v>672.8</v>
      </c>
      <c r="Q39" s="116"/>
      <c r="R39" s="116"/>
      <c r="S39" s="116"/>
      <c r="T39" s="116"/>
      <c r="U39" s="116"/>
      <c r="V39" s="116"/>
      <c r="W39" s="68">
        <f t="shared" si="4"/>
        <v>31846.859999999997</v>
      </c>
      <c r="X39" s="119"/>
      <c r="Y39" s="119"/>
      <c r="Z39" s="66">
        <f t="shared" si="5"/>
        <v>31846.859999999997</v>
      </c>
      <c r="AA39" s="117"/>
      <c r="AB39" s="96"/>
    </row>
    <row r="40" spans="1:31" s="97" customFormat="1" ht="25.5" customHeight="1" thickBot="1">
      <c r="A40" s="98">
        <v>12</v>
      </c>
      <c r="B40" s="48">
        <v>18</v>
      </c>
      <c r="C40" s="112" t="s">
        <v>95</v>
      </c>
      <c r="D40" s="113" t="s">
        <v>84</v>
      </c>
      <c r="E40" s="113"/>
      <c r="F40" s="64" t="s">
        <v>96</v>
      </c>
      <c r="G40" s="65">
        <v>7400.8</v>
      </c>
      <c r="H40" s="64">
        <v>2</v>
      </c>
      <c r="I40" s="66">
        <f t="shared" si="3"/>
        <v>7400.8</v>
      </c>
      <c r="J40" s="66"/>
      <c r="K40" s="66">
        <f t="shared" si="6"/>
        <v>9797.82</v>
      </c>
      <c r="L40" s="66"/>
      <c r="M40" s="114"/>
      <c r="N40" s="115">
        <v>1430</v>
      </c>
      <c r="O40" s="116">
        <f>1009.22*2</f>
        <v>2018.44</v>
      </c>
      <c r="P40" s="116">
        <v>1345.6</v>
      </c>
      <c r="Q40" s="116"/>
      <c r="R40" s="116"/>
      <c r="S40" s="116"/>
      <c r="T40" s="116"/>
      <c r="U40" s="116"/>
      <c r="V40" s="116"/>
      <c r="W40" s="68">
        <f t="shared" si="4"/>
        <v>29393.459999999995</v>
      </c>
      <c r="X40" s="119"/>
      <c r="Y40" s="119"/>
      <c r="Z40" s="66">
        <f t="shared" si="5"/>
        <v>29393.459999999995</v>
      </c>
      <c r="AA40" s="116"/>
      <c r="AB40" s="96"/>
    </row>
    <row r="41" spans="1:31" s="97" customFormat="1" ht="25.5" customHeight="1">
      <c r="A41" s="47">
        <v>13</v>
      </c>
      <c r="B41" s="48">
        <v>19</v>
      </c>
      <c r="C41" s="120" t="s">
        <v>97</v>
      </c>
      <c r="D41" s="121" t="s">
        <v>98</v>
      </c>
      <c r="E41" s="121"/>
      <c r="F41" s="122" t="s">
        <v>82</v>
      </c>
      <c r="G41" s="123">
        <v>5472</v>
      </c>
      <c r="H41" s="122">
        <v>2</v>
      </c>
      <c r="I41" s="72">
        <f t="shared" si="3"/>
        <v>5472</v>
      </c>
      <c r="J41" s="72"/>
      <c r="K41" s="72">
        <f>(G41+I41+O41+P41+N41)*40%</f>
        <v>5919.3600000000006</v>
      </c>
      <c r="L41" s="72"/>
      <c r="M41" s="124"/>
      <c r="N41" s="125">
        <v>1240</v>
      </c>
      <c r="O41" s="126">
        <f>851.2*2</f>
        <v>1702.4</v>
      </c>
      <c r="P41" s="126">
        <v>912</v>
      </c>
      <c r="Q41" s="126"/>
      <c r="R41" s="126"/>
      <c r="S41" s="126"/>
      <c r="T41" s="126"/>
      <c r="U41" s="126"/>
      <c r="V41" s="126"/>
      <c r="W41" s="127">
        <f t="shared" si="4"/>
        <v>20717.760000000002</v>
      </c>
      <c r="X41" s="128"/>
      <c r="Y41" s="128"/>
      <c r="Z41" s="72">
        <f t="shared" si="5"/>
        <v>20717.760000000002</v>
      </c>
      <c r="AA41" s="129"/>
      <c r="AB41" s="96"/>
    </row>
    <row r="42" spans="1:31" s="97" customFormat="1" ht="25.5" customHeight="1" thickBot="1">
      <c r="A42" s="59">
        <v>14</v>
      </c>
      <c r="B42" s="99">
        <v>20</v>
      </c>
      <c r="C42" s="112" t="s">
        <v>99</v>
      </c>
      <c r="D42" s="113" t="s">
        <v>98</v>
      </c>
      <c r="E42" s="113"/>
      <c r="F42" s="64" t="s">
        <v>100</v>
      </c>
      <c r="G42" s="65">
        <v>4788</v>
      </c>
      <c r="H42" s="64">
        <v>2</v>
      </c>
      <c r="I42" s="66">
        <f t="shared" si="3"/>
        <v>4788</v>
      </c>
      <c r="J42" s="66"/>
      <c r="K42" s="66">
        <f t="shared" ref="K42:K50" si="7">(G42+I42+O42+P42+N42)*50%</f>
        <v>6099.6</v>
      </c>
      <c r="L42" s="66"/>
      <c r="M42" s="114"/>
      <c r="N42" s="115">
        <v>860</v>
      </c>
      <c r="O42" s="116">
        <f>653.6*2</f>
        <v>1307.2</v>
      </c>
      <c r="P42" s="116">
        <v>456</v>
      </c>
      <c r="Q42" s="116">
        <v>2429.4299999999998</v>
      </c>
      <c r="R42" s="116">
        <v>5668.67</v>
      </c>
      <c r="S42" s="116"/>
      <c r="T42" s="116"/>
      <c r="U42" s="116"/>
      <c r="V42" s="116"/>
      <c r="W42" s="68">
        <f t="shared" si="4"/>
        <v>26396.9</v>
      </c>
      <c r="X42" s="119"/>
      <c r="Y42" s="119"/>
      <c r="Z42" s="66">
        <f t="shared" si="5"/>
        <v>26396.9</v>
      </c>
      <c r="AA42" s="117"/>
      <c r="AB42" s="96"/>
    </row>
    <row r="43" spans="1:31" s="97" customFormat="1" ht="25.5" customHeight="1" thickBot="1">
      <c r="A43" s="59">
        <v>15</v>
      </c>
      <c r="B43" s="48">
        <v>21</v>
      </c>
      <c r="C43" s="112" t="s">
        <v>101</v>
      </c>
      <c r="D43" s="113" t="s">
        <v>98</v>
      </c>
      <c r="E43" s="113"/>
      <c r="F43" s="64" t="s">
        <v>96</v>
      </c>
      <c r="G43" s="65">
        <v>5016</v>
      </c>
      <c r="H43" s="64">
        <v>2</v>
      </c>
      <c r="I43" s="66">
        <f t="shared" si="3"/>
        <v>5016</v>
      </c>
      <c r="J43" s="66"/>
      <c r="K43" s="66">
        <f t="shared" si="7"/>
        <v>6169</v>
      </c>
      <c r="L43" s="66"/>
      <c r="M43" s="114"/>
      <c r="N43" s="115">
        <v>1090</v>
      </c>
      <c r="O43" s="116">
        <f>608*2</f>
        <v>1216</v>
      </c>
      <c r="P43" s="116"/>
      <c r="Q43" s="116"/>
      <c r="R43" s="116"/>
      <c r="S43" s="116"/>
      <c r="T43" s="116"/>
      <c r="U43" s="116"/>
      <c r="V43" s="116"/>
      <c r="W43" s="68">
        <f t="shared" si="4"/>
        <v>18507</v>
      </c>
      <c r="X43" s="119"/>
      <c r="Y43" s="119"/>
      <c r="Z43" s="66">
        <f t="shared" si="5"/>
        <v>18507</v>
      </c>
      <c r="AA43" s="117"/>
      <c r="AB43" s="96"/>
    </row>
    <row r="44" spans="1:31" s="97" customFormat="1" ht="25.5" customHeight="1">
      <c r="A44" s="59">
        <v>16</v>
      </c>
      <c r="B44" s="48">
        <v>22</v>
      </c>
      <c r="C44" s="112" t="s">
        <v>102</v>
      </c>
      <c r="D44" s="113" t="s">
        <v>98</v>
      </c>
      <c r="E44" s="113"/>
      <c r="F44" s="64" t="s">
        <v>103</v>
      </c>
      <c r="G44" s="65"/>
      <c r="H44" s="64">
        <v>2</v>
      </c>
      <c r="I44" s="66">
        <f t="shared" si="3"/>
        <v>0</v>
      </c>
      <c r="J44" s="66"/>
      <c r="K44" s="66">
        <f t="shared" si="7"/>
        <v>0</v>
      </c>
      <c r="L44" s="66"/>
      <c r="M44" s="114"/>
      <c r="N44" s="115">
        <v>0</v>
      </c>
      <c r="O44" s="116"/>
      <c r="P44" s="116"/>
      <c r="Q44" s="116"/>
      <c r="R44" s="116"/>
      <c r="S44" s="116"/>
      <c r="T44" s="116"/>
      <c r="U44" s="116"/>
      <c r="V44" s="116"/>
      <c r="W44" s="68">
        <f t="shared" si="4"/>
        <v>0</v>
      </c>
      <c r="X44" s="119"/>
      <c r="Y44" s="119"/>
      <c r="Z44" s="66">
        <f t="shared" si="5"/>
        <v>0</v>
      </c>
      <c r="AA44" s="117"/>
      <c r="AB44" s="96"/>
    </row>
    <row r="45" spans="1:31" s="97" customFormat="1" ht="25.5" customHeight="1" thickBot="1">
      <c r="A45" s="59">
        <v>17</v>
      </c>
      <c r="B45" s="99">
        <v>23</v>
      </c>
      <c r="C45" s="112" t="s">
        <v>104</v>
      </c>
      <c r="D45" s="113" t="s">
        <v>98</v>
      </c>
      <c r="E45" s="113"/>
      <c r="F45" s="64" t="s">
        <v>103</v>
      </c>
      <c r="G45" s="65"/>
      <c r="H45" s="64">
        <v>2</v>
      </c>
      <c r="I45" s="66">
        <f t="shared" si="3"/>
        <v>0</v>
      </c>
      <c r="J45" s="66"/>
      <c r="K45" s="66">
        <f t="shared" si="7"/>
        <v>0</v>
      </c>
      <c r="L45" s="66"/>
      <c r="M45" s="114"/>
      <c r="N45" s="115">
        <v>0</v>
      </c>
      <c r="O45" s="116"/>
      <c r="P45" s="116"/>
      <c r="Q45" s="116"/>
      <c r="R45" s="116"/>
      <c r="S45" s="116"/>
      <c r="T45" s="116"/>
      <c r="U45" s="116"/>
      <c r="V45" s="116"/>
      <c r="W45" s="68">
        <f t="shared" si="4"/>
        <v>0</v>
      </c>
      <c r="X45" s="119"/>
      <c r="Y45" s="119"/>
      <c r="Z45" s="66">
        <f t="shared" si="5"/>
        <v>0</v>
      </c>
      <c r="AA45" s="117"/>
      <c r="AB45" s="96"/>
    </row>
    <row r="46" spans="1:31" s="97" customFormat="1" ht="25.5" customHeight="1" thickBot="1">
      <c r="A46" s="59">
        <v>18</v>
      </c>
      <c r="B46" s="48">
        <v>24</v>
      </c>
      <c r="C46" s="112" t="s">
        <v>105</v>
      </c>
      <c r="D46" s="113" t="s">
        <v>98</v>
      </c>
      <c r="E46" s="113"/>
      <c r="F46" s="64" t="s">
        <v>100</v>
      </c>
      <c r="G46" s="65">
        <v>4788</v>
      </c>
      <c r="H46" s="64">
        <v>2</v>
      </c>
      <c r="I46" s="66">
        <f t="shared" si="3"/>
        <v>4788</v>
      </c>
      <c r="J46" s="66"/>
      <c r="K46" s="66">
        <f t="shared" si="7"/>
        <v>6106.5</v>
      </c>
      <c r="L46" s="66"/>
      <c r="M46" s="114"/>
      <c r="N46" s="115">
        <v>870</v>
      </c>
      <c r="O46" s="116">
        <f>655.5+655.5</f>
        <v>1311</v>
      </c>
      <c r="P46" s="116">
        <v>456</v>
      </c>
      <c r="Q46" s="116"/>
      <c r="R46" s="116"/>
      <c r="S46" s="116">
        <v>20539.169999999998</v>
      </c>
      <c r="T46" s="116"/>
      <c r="U46" s="116"/>
      <c r="V46" s="116"/>
      <c r="W46" s="68">
        <f t="shared" si="4"/>
        <v>38858.67</v>
      </c>
      <c r="X46" s="119"/>
      <c r="Y46" s="119"/>
      <c r="Z46" s="66">
        <f t="shared" si="5"/>
        <v>38858.67</v>
      </c>
      <c r="AA46" s="117"/>
      <c r="AB46" s="96"/>
    </row>
    <row r="47" spans="1:31" s="97" customFormat="1" ht="25.5" customHeight="1">
      <c r="A47" s="59">
        <v>19</v>
      </c>
      <c r="B47" s="48">
        <v>25</v>
      </c>
      <c r="C47" s="61" t="s">
        <v>106</v>
      </c>
      <c r="D47" s="113" t="s">
        <v>98</v>
      </c>
      <c r="E47" s="113"/>
      <c r="F47" s="64" t="s">
        <v>87</v>
      </c>
      <c r="G47" s="65">
        <v>5700</v>
      </c>
      <c r="H47" s="64">
        <v>2</v>
      </c>
      <c r="I47" s="66">
        <f t="shared" si="3"/>
        <v>5700</v>
      </c>
      <c r="J47" s="66"/>
      <c r="K47" s="66">
        <f t="shared" si="7"/>
        <v>7612.2</v>
      </c>
      <c r="L47" s="66"/>
      <c r="M47" s="114"/>
      <c r="N47" s="115">
        <v>1210</v>
      </c>
      <c r="O47" s="116">
        <f>851.2*2</f>
        <v>1702.4</v>
      </c>
      <c r="P47" s="116">
        <v>912</v>
      </c>
      <c r="Q47" s="116"/>
      <c r="R47" s="116"/>
      <c r="S47" s="116"/>
      <c r="T47" s="116"/>
      <c r="U47" s="116"/>
      <c r="V47" s="116"/>
      <c r="W47" s="68">
        <f t="shared" si="4"/>
        <v>22836.600000000002</v>
      </c>
      <c r="X47" s="119"/>
      <c r="Y47" s="119"/>
      <c r="Z47" s="66">
        <f t="shared" si="5"/>
        <v>22836.600000000002</v>
      </c>
      <c r="AA47" s="117"/>
    </row>
    <row r="48" spans="1:31" s="97" customFormat="1" ht="25.5" customHeight="1" thickBot="1">
      <c r="A48" s="59">
        <v>20</v>
      </c>
      <c r="B48" s="99">
        <v>26</v>
      </c>
      <c r="C48" s="112" t="s">
        <v>107</v>
      </c>
      <c r="D48" s="113" t="s">
        <v>98</v>
      </c>
      <c r="E48" s="113"/>
      <c r="F48" s="64" t="s">
        <v>82</v>
      </c>
      <c r="G48" s="65">
        <v>5472</v>
      </c>
      <c r="H48" s="64">
        <v>2</v>
      </c>
      <c r="I48" s="66">
        <f t="shared" si="3"/>
        <v>5472</v>
      </c>
      <c r="J48" s="66"/>
      <c r="K48" s="66">
        <f t="shared" si="7"/>
        <v>7084.48</v>
      </c>
      <c r="L48" s="66"/>
      <c r="M48" s="114"/>
      <c r="N48" s="115">
        <v>1230</v>
      </c>
      <c r="O48" s="116">
        <f>759.98*2</f>
        <v>1519.96</v>
      </c>
      <c r="P48" s="116">
        <v>475</v>
      </c>
      <c r="Q48" s="116"/>
      <c r="R48" s="116"/>
      <c r="S48" s="116"/>
      <c r="T48" s="116"/>
      <c r="U48" s="116"/>
      <c r="V48" s="116"/>
      <c r="W48" s="68">
        <f t="shared" si="4"/>
        <v>21253.439999999999</v>
      </c>
      <c r="X48" s="119"/>
      <c r="Y48" s="119"/>
      <c r="Z48" s="66">
        <f t="shared" si="5"/>
        <v>21253.439999999999</v>
      </c>
      <c r="AA48" s="117"/>
      <c r="AB48" s="96"/>
    </row>
    <row r="49" spans="1:28" s="97" customFormat="1" ht="16" thickBot="1">
      <c r="A49" s="59">
        <v>21</v>
      </c>
      <c r="B49" s="48">
        <v>27</v>
      </c>
      <c r="C49" s="112" t="s">
        <v>108</v>
      </c>
      <c r="D49" s="113" t="s">
        <v>98</v>
      </c>
      <c r="E49" s="113"/>
      <c r="F49" s="64" t="s">
        <v>87</v>
      </c>
      <c r="G49" s="65">
        <v>5700</v>
      </c>
      <c r="H49" s="64">
        <v>2</v>
      </c>
      <c r="I49" s="66">
        <f t="shared" si="3"/>
        <v>5700</v>
      </c>
      <c r="J49" s="66"/>
      <c r="K49" s="66">
        <f t="shared" si="7"/>
        <v>7612.2</v>
      </c>
      <c r="L49" s="66"/>
      <c r="M49" s="114"/>
      <c r="N49" s="115">
        <v>1210</v>
      </c>
      <c r="O49" s="116">
        <f>851.2*2</f>
        <v>1702.4</v>
      </c>
      <c r="P49" s="116">
        <v>912</v>
      </c>
      <c r="Q49" s="116"/>
      <c r="R49" s="116"/>
      <c r="S49" s="116"/>
      <c r="T49" s="116"/>
      <c r="U49" s="116"/>
      <c r="V49" s="116"/>
      <c r="W49" s="68">
        <f t="shared" si="4"/>
        <v>22836.600000000002</v>
      </c>
      <c r="X49" s="119"/>
      <c r="Y49" s="119"/>
      <c r="Z49" s="66">
        <f t="shared" si="5"/>
        <v>22836.600000000002</v>
      </c>
      <c r="AA49" s="117"/>
      <c r="AB49" s="96"/>
    </row>
    <row r="50" spans="1:28" s="97" customFormat="1" ht="15.5">
      <c r="A50" s="59">
        <v>22</v>
      </c>
      <c r="B50" s="48">
        <v>28</v>
      </c>
      <c r="C50" s="112" t="s">
        <v>109</v>
      </c>
      <c r="D50" s="113" t="s">
        <v>98</v>
      </c>
      <c r="E50" s="113"/>
      <c r="F50" s="64" t="s">
        <v>87</v>
      </c>
      <c r="G50" s="65">
        <v>5700</v>
      </c>
      <c r="H50" s="64">
        <v>2</v>
      </c>
      <c r="I50" s="66">
        <f t="shared" si="3"/>
        <v>5700</v>
      </c>
      <c r="J50" s="66"/>
      <c r="K50" s="66">
        <f t="shared" si="7"/>
        <v>7480.6</v>
      </c>
      <c r="L50" s="66"/>
      <c r="M50" s="114"/>
      <c r="N50" s="115">
        <v>1190</v>
      </c>
      <c r="O50" s="116">
        <f>729.6*2</f>
        <v>1459.2</v>
      </c>
      <c r="P50" s="116">
        <v>912</v>
      </c>
      <c r="Q50" s="116"/>
      <c r="R50" s="116"/>
      <c r="S50" s="116"/>
      <c r="T50" s="116"/>
      <c r="U50" s="116"/>
      <c r="V50" s="116"/>
      <c r="W50" s="68">
        <f t="shared" si="4"/>
        <v>22441.8</v>
      </c>
      <c r="X50" s="119"/>
      <c r="Y50" s="119"/>
      <c r="Z50" s="66">
        <f t="shared" si="5"/>
        <v>22441.8</v>
      </c>
      <c r="AA50" s="117"/>
      <c r="AB50" s="96"/>
    </row>
    <row r="51" spans="1:28" s="97" customFormat="1" ht="16" thickBot="1">
      <c r="A51" s="59">
        <v>23</v>
      </c>
      <c r="B51" s="99">
        <v>29</v>
      </c>
      <c r="C51" s="112" t="s">
        <v>110</v>
      </c>
      <c r="D51" s="113" t="s">
        <v>98</v>
      </c>
      <c r="E51" s="113"/>
      <c r="F51" s="64" t="s">
        <v>87</v>
      </c>
      <c r="G51" s="65">
        <v>5700</v>
      </c>
      <c r="H51" s="64">
        <v>2</v>
      </c>
      <c r="I51" s="66">
        <f t="shared" si="3"/>
        <v>5700</v>
      </c>
      <c r="J51" s="66"/>
      <c r="K51" s="66">
        <f>(G51+I51+O51+P51+N51)*30%-0.01</f>
        <v>4545.3499999999995</v>
      </c>
      <c r="L51" s="66"/>
      <c r="M51" s="114"/>
      <c r="N51" s="115">
        <v>1380</v>
      </c>
      <c r="O51" s="116">
        <f>729.6*2</f>
        <v>1459.2</v>
      </c>
      <c r="P51" s="116">
        <v>912</v>
      </c>
      <c r="Q51" s="116"/>
      <c r="R51" s="116"/>
      <c r="S51" s="116"/>
      <c r="T51" s="116"/>
      <c r="U51" s="116"/>
      <c r="V51" s="116"/>
      <c r="W51" s="68">
        <f t="shared" si="4"/>
        <v>19696.55</v>
      </c>
      <c r="X51" s="119"/>
      <c r="Y51" s="119"/>
      <c r="Z51" s="66">
        <f t="shared" si="5"/>
        <v>19696.55</v>
      </c>
      <c r="AA51" s="117"/>
      <c r="AB51" s="96"/>
    </row>
    <row r="52" spans="1:28" s="97" customFormat="1" ht="16" thickBot="1">
      <c r="A52" s="59">
        <v>24</v>
      </c>
      <c r="B52" s="48">
        <v>30</v>
      </c>
      <c r="C52" s="112" t="s">
        <v>111</v>
      </c>
      <c r="D52" s="113" t="s">
        <v>98</v>
      </c>
      <c r="E52" s="113"/>
      <c r="F52" s="64" t="s">
        <v>87</v>
      </c>
      <c r="G52" s="65">
        <v>5700</v>
      </c>
      <c r="H52" s="64">
        <v>2</v>
      </c>
      <c r="I52" s="66">
        <f t="shared" si="3"/>
        <v>5700</v>
      </c>
      <c r="J52" s="66"/>
      <c r="K52" s="66">
        <f>(G52+I52+O52+P52+N52)*50%</f>
        <v>7232</v>
      </c>
      <c r="L52" s="66"/>
      <c r="M52" s="114"/>
      <c r="N52" s="115">
        <v>1240</v>
      </c>
      <c r="O52" s="116">
        <f>684*2</f>
        <v>1368</v>
      </c>
      <c r="P52" s="116">
        <v>456</v>
      </c>
      <c r="Q52" s="116"/>
      <c r="R52" s="116"/>
      <c r="S52" s="116"/>
      <c r="T52" s="116"/>
      <c r="U52" s="116"/>
      <c r="V52" s="116"/>
      <c r="W52" s="68">
        <f t="shared" si="4"/>
        <v>21696</v>
      </c>
      <c r="X52" s="119"/>
      <c r="Y52" s="119"/>
      <c r="Z52" s="66">
        <f t="shared" si="5"/>
        <v>21696</v>
      </c>
      <c r="AA52" s="117"/>
      <c r="AB52" s="96"/>
    </row>
    <row r="53" spans="1:28" s="97" customFormat="1" ht="15.5">
      <c r="A53" s="59">
        <v>25</v>
      </c>
      <c r="B53" s="48">
        <v>31</v>
      </c>
      <c r="C53" s="112" t="s">
        <v>112</v>
      </c>
      <c r="D53" s="113" t="s">
        <v>98</v>
      </c>
      <c r="E53" s="113"/>
      <c r="F53" s="130" t="s">
        <v>113</v>
      </c>
      <c r="G53" s="65">
        <v>1596</v>
      </c>
      <c r="H53" s="64">
        <v>2</v>
      </c>
      <c r="I53" s="66">
        <f t="shared" si="3"/>
        <v>1596</v>
      </c>
      <c r="J53" s="66"/>
      <c r="K53" s="66">
        <f>(G53+I53+O53+P53+N53)*50%</f>
        <v>2187.66</v>
      </c>
      <c r="L53" s="66"/>
      <c r="M53" s="114"/>
      <c r="N53" s="115">
        <v>360</v>
      </c>
      <c r="O53" s="116">
        <f>174.16*2</f>
        <v>348.32</v>
      </c>
      <c r="P53" s="116">
        <v>475</v>
      </c>
      <c r="Q53" s="116"/>
      <c r="R53" s="116"/>
      <c r="S53" s="116">
        <v>39591.760000000002</v>
      </c>
      <c r="T53" s="116"/>
      <c r="U53" s="116"/>
      <c r="V53" s="116"/>
      <c r="W53" s="68">
        <f t="shared" si="4"/>
        <v>46154.740000000005</v>
      </c>
      <c r="X53" s="119"/>
      <c r="Y53" s="119"/>
      <c r="Z53" s="66">
        <f t="shared" si="5"/>
        <v>46154.740000000005</v>
      </c>
      <c r="AA53" s="117"/>
      <c r="AB53" s="96"/>
    </row>
    <row r="54" spans="1:28" s="97" customFormat="1" ht="16" thickBot="1">
      <c r="A54" s="59">
        <v>26</v>
      </c>
      <c r="B54" s="99">
        <v>32</v>
      </c>
      <c r="C54" s="112" t="s">
        <v>114</v>
      </c>
      <c r="D54" s="113" t="s">
        <v>98</v>
      </c>
      <c r="E54" s="113"/>
      <c r="F54" s="64" t="s">
        <v>87</v>
      </c>
      <c r="G54" s="65">
        <v>5700</v>
      </c>
      <c r="H54" s="64">
        <v>2</v>
      </c>
      <c r="I54" s="66">
        <f t="shared" si="3"/>
        <v>5700</v>
      </c>
      <c r="J54" s="66"/>
      <c r="K54" s="66">
        <f>(G54+I54+O54+P54+N54)*50%</f>
        <v>7480.6</v>
      </c>
      <c r="L54" s="66"/>
      <c r="M54" s="114"/>
      <c r="N54" s="115">
        <v>1190</v>
      </c>
      <c r="O54" s="116">
        <f>729.6*2</f>
        <v>1459.2</v>
      </c>
      <c r="P54" s="116">
        <v>912</v>
      </c>
      <c r="Q54" s="116"/>
      <c r="R54" s="116"/>
      <c r="S54" s="116"/>
      <c r="T54" s="116"/>
      <c r="U54" s="116"/>
      <c r="V54" s="116"/>
      <c r="W54" s="68">
        <f t="shared" si="4"/>
        <v>22441.8</v>
      </c>
      <c r="X54" s="119"/>
      <c r="Y54" s="119"/>
      <c r="Z54" s="66">
        <f t="shared" si="5"/>
        <v>22441.8</v>
      </c>
      <c r="AA54" s="117"/>
      <c r="AB54" s="96"/>
    </row>
    <row r="55" spans="1:28" s="97" customFormat="1" ht="16" thickBot="1">
      <c r="A55" s="59">
        <v>27</v>
      </c>
      <c r="B55" s="48">
        <v>33</v>
      </c>
      <c r="C55" s="112" t="s">
        <v>115</v>
      </c>
      <c r="D55" s="113" t="s">
        <v>98</v>
      </c>
      <c r="E55" s="113"/>
      <c r="F55" s="64" t="s">
        <v>82</v>
      </c>
      <c r="G55" s="65">
        <v>5472</v>
      </c>
      <c r="H55" s="64">
        <v>2</v>
      </c>
      <c r="I55" s="66">
        <f t="shared" si="3"/>
        <v>5472</v>
      </c>
      <c r="J55" s="66"/>
      <c r="K55" s="66">
        <f>(G55+I55+O55+P55+N55)*40%</f>
        <v>5699.5839999999998</v>
      </c>
      <c r="L55" s="66"/>
      <c r="M55" s="114"/>
      <c r="N55" s="115">
        <v>1310</v>
      </c>
      <c r="O55" s="116">
        <f>759.98*2</f>
        <v>1519.96</v>
      </c>
      <c r="P55" s="116">
        <v>475</v>
      </c>
      <c r="Q55" s="116"/>
      <c r="R55" s="116"/>
      <c r="S55" s="116"/>
      <c r="T55" s="116"/>
      <c r="U55" s="116"/>
      <c r="V55" s="116"/>
      <c r="W55" s="68">
        <f t="shared" si="4"/>
        <v>19948.543999999998</v>
      </c>
      <c r="X55" s="119"/>
      <c r="Y55" s="119"/>
      <c r="Z55" s="66">
        <f t="shared" si="5"/>
        <v>19948.543999999998</v>
      </c>
      <c r="AA55" s="117"/>
      <c r="AB55" s="96"/>
    </row>
    <row r="56" spans="1:28" s="97" customFormat="1" ht="15.5">
      <c r="A56" s="59">
        <v>28</v>
      </c>
      <c r="B56" s="48">
        <v>34</v>
      </c>
      <c r="C56" s="112" t="s">
        <v>116</v>
      </c>
      <c r="D56" s="113" t="s">
        <v>98</v>
      </c>
      <c r="E56" s="113"/>
      <c r="F56" s="64" t="s">
        <v>87</v>
      </c>
      <c r="G56" s="65">
        <v>5700</v>
      </c>
      <c r="H56" s="64">
        <v>2</v>
      </c>
      <c r="I56" s="66">
        <f t="shared" si="3"/>
        <v>5700</v>
      </c>
      <c r="J56" s="66"/>
      <c r="K56" s="66">
        <f t="shared" ref="K56:K64" si="8">(G56+I56+O56+P56+N56)*50%</f>
        <v>7446.2</v>
      </c>
      <c r="L56" s="66"/>
      <c r="M56" s="114"/>
      <c r="N56" s="115">
        <v>1030</v>
      </c>
      <c r="O56" s="116">
        <f>775.2*2</f>
        <v>1550.4</v>
      </c>
      <c r="P56" s="116">
        <v>912</v>
      </c>
      <c r="Q56" s="116"/>
      <c r="R56" s="116"/>
      <c r="S56" s="116"/>
      <c r="T56" s="116"/>
      <c r="U56" s="116"/>
      <c r="V56" s="116"/>
      <c r="W56" s="68">
        <f t="shared" si="4"/>
        <v>22338.600000000002</v>
      </c>
      <c r="X56" s="119"/>
      <c r="Y56" s="119"/>
      <c r="Z56" s="66">
        <f t="shared" si="5"/>
        <v>22338.600000000002</v>
      </c>
      <c r="AA56" s="117"/>
      <c r="AB56" s="96"/>
    </row>
    <row r="57" spans="1:28" s="97" customFormat="1" ht="16" thickBot="1">
      <c r="A57" s="59">
        <v>29</v>
      </c>
      <c r="B57" s="99">
        <v>35</v>
      </c>
      <c r="C57" s="112" t="s">
        <v>117</v>
      </c>
      <c r="D57" s="113" t="s">
        <v>98</v>
      </c>
      <c r="E57" s="113"/>
      <c r="F57" s="64" t="s">
        <v>87</v>
      </c>
      <c r="G57" s="65">
        <v>5700</v>
      </c>
      <c r="H57" s="64">
        <v>2</v>
      </c>
      <c r="I57" s="66">
        <f t="shared" si="3"/>
        <v>5700</v>
      </c>
      <c r="J57" s="66"/>
      <c r="K57" s="66">
        <f t="shared" si="8"/>
        <v>7232</v>
      </c>
      <c r="L57" s="66"/>
      <c r="M57" s="114"/>
      <c r="N57" s="115">
        <v>1240</v>
      </c>
      <c r="O57" s="116">
        <f>684*2</f>
        <v>1368</v>
      </c>
      <c r="P57" s="116">
        <v>456</v>
      </c>
      <c r="Q57" s="116"/>
      <c r="R57" s="116"/>
      <c r="S57" s="116"/>
      <c r="T57" s="116"/>
      <c r="U57" s="116"/>
      <c r="V57" s="116"/>
      <c r="W57" s="68">
        <f t="shared" si="4"/>
        <v>21696</v>
      </c>
      <c r="X57" s="119"/>
      <c r="Y57" s="119"/>
      <c r="Z57" s="66">
        <f t="shared" si="5"/>
        <v>21696</v>
      </c>
      <c r="AA57" s="117"/>
      <c r="AB57" s="96"/>
    </row>
    <row r="58" spans="1:28" s="97" customFormat="1" ht="16" thickBot="1">
      <c r="A58" s="98">
        <v>30</v>
      </c>
      <c r="B58" s="48">
        <v>36</v>
      </c>
      <c r="C58" s="100" t="s">
        <v>118</v>
      </c>
      <c r="D58" s="101" t="s">
        <v>98</v>
      </c>
      <c r="E58" s="101"/>
      <c r="F58" s="104" t="s">
        <v>100</v>
      </c>
      <c r="G58" s="131">
        <v>4788</v>
      </c>
      <c r="H58" s="104">
        <v>2</v>
      </c>
      <c r="I58" s="105">
        <f t="shared" si="3"/>
        <v>4788</v>
      </c>
      <c r="J58" s="105"/>
      <c r="K58" s="105">
        <f t="shared" si="8"/>
        <v>6099.6</v>
      </c>
      <c r="L58" s="105"/>
      <c r="M58" s="106"/>
      <c r="N58" s="107">
        <v>860</v>
      </c>
      <c r="O58" s="108">
        <f>653.6*2</f>
        <v>1307.2</v>
      </c>
      <c r="P58" s="108">
        <v>456</v>
      </c>
      <c r="Q58" s="108"/>
      <c r="R58" s="108"/>
      <c r="S58" s="108"/>
      <c r="T58" s="108"/>
      <c r="U58" s="108"/>
      <c r="V58" s="108"/>
      <c r="W58" s="109">
        <f t="shared" si="4"/>
        <v>18298.8</v>
      </c>
      <c r="X58" s="119"/>
      <c r="Y58" s="119"/>
      <c r="Z58" s="105">
        <f t="shared" si="5"/>
        <v>18298.8</v>
      </c>
      <c r="AA58" s="110"/>
      <c r="AB58" s="96"/>
    </row>
    <row r="59" spans="1:28" s="97" customFormat="1" ht="15.5">
      <c r="A59" s="59">
        <v>32</v>
      </c>
      <c r="B59" s="48">
        <v>37</v>
      </c>
      <c r="C59" s="112" t="s">
        <v>119</v>
      </c>
      <c r="D59" s="113" t="s">
        <v>120</v>
      </c>
      <c r="E59" s="113"/>
      <c r="F59" s="64" t="s">
        <v>82</v>
      </c>
      <c r="G59" s="65">
        <v>5568</v>
      </c>
      <c r="H59" s="64">
        <v>2</v>
      </c>
      <c r="I59" s="66">
        <f t="shared" si="3"/>
        <v>5568</v>
      </c>
      <c r="J59" s="66"/>
      <c r="K59" s="66">
        <f t="shared" si="8"/>
        <v>7617.09</v>
      </c>
      <c r="L59" s="66"/>
      <c r="M59" s="114"/>
      <c r="N59" s="115">
        <v>2130</v>
      </c>
      <c r="O59" s="116">
        <f>742.42*2</f>
        <v>1484.84</v>
      </c>
      <c r="P59" s="116">
        <v>483.34</v>
      </c>
      <c r="Q59" s="116"/>
      <c r="R59" s="116"/>
      <c r="S59" s="116"/>
      <c r="T59" s="116"/>
      <c r="U59" s="116"/>
      <c r="V59" s="116"/>
      <c r="W59" s="68">
        <f t="shared" si="4"/>
        <v>22851.27</v>
      </c>
      <c r="X59" s="128"/>
      <c r="Y59" s="128"/>
      <c r="Z59" s="66">
        <f t="shared" si="5"/>
        <v>22851.27</v>
      </c>
      <c r="AA59" s="117"/>
      <c r="AB59" s="96"/>
    </row>
    <row r="60" spans="1:28" s="97" customFormat="1" ht="16" thickBot="1">
      <c r="A60" s="59">
        <v>33</v>
      </c>
      <c r="B60" s="99">
        <v>38</v>
      </c>
      <c r="C60" s="112" t="s">
        <v>121</v>
      </c>
      <c r="D60" s="113" t="s">
        <v>120</v>
      </c>
      <c r="E60" s="113"/>
      <c r="F60" s="64" t="s">
        <v>87</v>
      </c>
      <c r="G60" s="65">
        <v>5800</v>
      </c>
      <c r="H60" s="64">
        <v>2</v>
      </c>
      <c r="I60" s="66">
        <f t="shared" si="3"/>
        <v>5800</v>
      </c>
      <c r="J60" s="66"/>
      <c r="K60" s="66">
        <f t="shared" si="8"/>
        <v>7653.02</v>
      </c>
      <c r="L60" s="66"/>
      <c r="M60" s="114"/>
      <c r="N60" s="115">
        <v>1850</v>
      </c>
      <c r="O60" s="116">
        <f>696.02*2</f>
        <v>1392.04</v>
      </c>
      <c r="P60" s="116">
        <v>464</v>
      </c>
      <c r="Q60" s="116"/>
      <c r="R60" s="116"/>
      <c r="S60" s="116"/>
      <c r="T60" s="116"/>
      <c r="U60" s="116"/>
      <c r="V60" s="116"/>
      <c r="W60" s="68">
        <f t="shared" si="4"/>
        <v>22959.06</v>
      </c>
      <c r="X60" s="119"/>
      <c r="Y60" s="119"/>
      <c r="Z60" s="66">
        <f t="shared" si="5"/>
        <v>22959.06</v>
      </c>
      <c r="AA60" s="117"/>
      <c r="AB60" s="96"/>
    </row>
    <row r="61" spans="1:28" s="97" customFormat="1" ht="16" thickBot="1">
      <c r="A61" s="59">
        <v>34</v>
      </c>
      <c r="B61" s="48">
        <v>39</v>
      </c>
      <c r="C61" s="112" t="s">
        <v>122</v>
      </c>
      <c r="D61" s="113" t="s">
        <v>120</v>
      </c>
      <c r="E61" s="113"/>
      <c r="F61" s="64" t="s">
        <v>87</v>
      </c>
      <c r="G61" s="65">
        <v>5800</v>
      </c>
      <c r="H61" s="64">
        <v>2</v>
      </c>
      <c r="I61" s="66">
        <f t="shared" si="3"/>
        <v>5800</v>
      </c>
      <c r="J61" s="66"/>
      <c r="K61" s="66">
        <f t="shared" si="8"/>
        <v>7911.42</v>
      </c>
      <c r="L61" s="66"/>
      <c r="M61" s="114"/>
      <c r="N61" s="115">
        <v>1810</v>
      </c>
      <c r="O61" s="116">
        <f>742.42*2</f>
        <v>1484.84</v>
      </c>
      <c r="P61" s="116">
        <v>928</v>
      </c>
      <c r="Q61" s="116"/>
      <c r="R61" s="116"/>
      <c r="S61" s="116"/>
      <c r="T61" s="116"/>
      <c r="U61" s="116"/>
      <c r="V61" s="116"/>
      <c r="W61" s="68">
        <f t="shared" si="4"/>
        <v>23734.26</v>
      </c>
      <c r="X61" s="119"/>
      <c r="Y61" s="119"/>
      <c r="Z61" s="66">
        <f t="shared" si="5"/>
        <v>23734.26</v>
      </c>
      <c r="AA61" s="117"/>
      <c r="AB61" s="96"/>
    </row>
    <row r="62" spans="1:28" s="97" customFormat="1" ht="15.5">
      <c r="A62" s="59">
        <v>35</v>
      </c>
      <c r="B62" s="48">
        <v>40</v>
      </c>
      <c r="C62" s="112" t="s">
        <v>123</v>
      </c>
      <c r="D62" s="113" t="s">
        <v>120</v>
      </c>
      <c r="E62" s="113"/>
      <c r="F62" s="64" t="s">
        <v>87</v>
      </c>
      <c r="G62" s="65">
        <v>5800</v>
      </c>
      <c r="H62" s="64">
        <v>2</v>
      </c>
      <c r="I62" s="66">
        <f t="shared" si="3"/>
        <v>5800</v>
      </c>
      <c r="J62" s="66"/>
      <c r="K62" s="66">
        <f t="shared" si="8"/>
        <v>8235.15</v>
      </c>
      <c r="L62" s="66"/>
      <c r="M62" s="114"/>
      <c r="N62" s="115">
        <v>2210</v>
      </c>
      <c r="O62" s="116">
        <f>866.15*2</f>
        <v>1732.3</v>
      </c>
      <c r="P62" s="116">
        <v>928</v>
      </c>
      <c r="Q62" s="116"/>
      <c r="R62" s="116"/>
      <c r="S62" s="116"/>
      <c r="T62" s="116"/>
      <c r="U62" s="116"/>
      <c r="V62" s="116"/>
      <c r="W62" s="68">
        <f t="shared" si="4"/>
        <v>24705.45</v>
      </c>
      <c r="X62" s="119"/>
      <c r="Y62" s="119"/>
      <c r="Z62" s="66">
        <f t="shared" si="5"/>
        <v>24705.45</v>
      </c>
      <c r="AA62" s="117"/>
      <c r="AB62" s="96"/>
    </row>
    <row r="63" spans="1:28" s="97" customFormat="1" ht="16" thickBot="1">
      <c r="A63" s="59">
        <v>36</v>
      </c>
      <c r="B63" s="99">
        <v>41</v>
      </c>
      <c r="C63" s="112" t="s">
        <v>124</v>
      </c>
      <c r="D63" s="113" t="s">
        <v>120</v>
      </c>
      <c r="E63" s="113"/>
      <c r="F63" s="64" t="s">
        <v>96</v>
      </c>
      <c r="G63" s="65">
        <v>5104</v>
      </c>
      <c r="H63" s="64">
        <v>2</v>
      </c>
      <c r="I63" s="66">
        <f t="shared" si="3"/>
        <v>5104</v>
      </c>
      <c r="J63" s="66"/>
      <c r="K63" s="66">
        <f t="shared" si="8"/>
        <v>7013.42</v>
      </c>
      <c r="L63" s="66"/>
      <c r="M63" s="114"/>
      <c r="N63" s="115">
        <v>1870</v>
      </c>
      <c r="O63" s="116">
        <f>742.42*2</f>
        <v>1484.84</v>
      </c>
      <c r="P63" s="116">
        <v>464</v>
      </c>
      <c r="Q63" s="116"/>
      <c r="R63" s="116"/>
      <c r="S63" s="116"/>
      <c r="T63" s="116"/>
      <c r="U63" s="116"/>
      <c r="V63" s="116"/>
      <c r="W63" s="68">
        <f t="shared" si="4"/>
        <v>21040.26</v>
      </c>
      <c r="X63" s="119"/>
      <c r="Y63" s="119"/>
      <c r="Z63" s="66">
        <f t="shared" si="5"/>
        <v>21040.26</v>
      </c>
      <c r="AA63" s="117"/>
      <c r="AB63" s="96"/>
    </row>
    <row r="64" spans="1:28" s="97" customFormat="1" ht="16" thickBot="1">
      <c r="A64" s="59">
        <v>37</v>
      </c>
      <c r="B64" s="48">
        <v>42</v>
      </c>
      <c r="C64" s="112" t="s">
        <v>125</v>
      </c>
      <c r="D64" s="113" t="s">
        <v>120</v>
      </c>
      <c r="E64" s="113"/>
      <c r="F64" s="64" t="s">
        <v>87</v>
      </c>
      <c r="G64" s="65">
        <v>5800</v>
      </c>
      <c r="H64" s="64">
        <v>2</v>
      </c>
      <c r="I64" s="66">
        <f t="shared" si="3"/>
        <v>5800</v>
      </c>
      <c r="J64" s="66"/>
      <c r="K64" s="66">
        <f t="shared" si="8"/>
        <v>7911.42</v>
      </c>
      <c r="L64" s="66"/>
      <c r="M64" s="114"/>
      <c r="N64" s="115">
        <v>1810</v>
      </c>
      <c r="O64" s="116">
        <f>742.42*2</f>
        <v>1484.84</v>
      </c>
      <c r="P64" s="116">
        <v>928</v>
      </c>
      <c r="Q64" s="116"/>
      <c r="R64" s="116"/>
      <c r="S64" s="116"/>
      <c r="T64" s="116"/>
      <c r="U64" s="116"/>
      <c r="V64" s="116"/>
      <c r="W64" s="68">
        <f t="shared" si="4"/>
        <v>23734.26</v>
      </c>
      <c r="X64" s="119"/>
      <c r="Y64" s="119"/>
      <c r="Z64" s="66">
        <f t="shared" si="5"/>
        <v>23734.26</v>
      </c>
      <c r="AA64" s="117"/>
      <c r="AB64" s="96"/>
    </row>
    <row r="65" spans="1:28" s="97" customFormat="1" ht="16" thickBot="1">
      <c r="A65" s="98">
        <v>38</v>
      </c>
      <c r="B65" s="48">
        <v>43</v>
      </c>
      <c r="C65" s="100" t="s">
        <v>126</v>
      </c>
      <c r="D65" s="101" t="s">
        <v>120</v>
      </c>
      <c r="E65" s="101"/>
      <c r="F65" s="104" t="s">
        <v>127</v>
      </c>
      <c r="G65" s="131">
        <v>2977.33</v>
      </c>
      <c r="H65" s="104">
        <v>2</v>
      </c>
      <c r="I65" s="105">
        <f t="shared" si="3"/>
        <v>2977.33</v>
      </c>
      <c r="J65" s="105"/>
      <c r="K65" s="105">
        <f>(G65+I65+O65+P65+N65)*40%</f>
        <v>3207.3680000000004</v>
      </c>
      <c r="L65" s="105"/>
      <c r="M65" s="106"/>
      <c r="N65" s="107">
        <v>1360</v>
      </c>
      <c r="O65" s="108">
        <f>351.88*2</f>
        <v>703.76</v>
      </c>
      <c r="P65" s="108"/>
      <c r="Q65" s="108">
        <v>2256.96</v>
      </c>
      <c r="R65" s="108">
        <v>9027.84</v>
      </c>
      <c r="S65" s="108"/>
      <c r="T65" s="108"/>
      <c r="U65" s="108"/>
      <c r="V65" s="108"/>
      <c r="W65" s="109">
        <f t="shared" si="4"/>
        <v>22510.588</v>
      </c>
      <c r="X65" s="132"/>
      <c r="Y65" s="132"/>
      <c r="Z65" s="105">
        <f t="shared" si="5"/>
        <v>22510.588</v>
      </c>
      <c r="AA65" s="110"/>
      <c r="AB65" s="96"/>
    </row>
    <row r="66" spans="1:28" s="97" customFormat="1" ht="16" thickBot="1">
      <c r="A66" s="59">
        <v>40</v>
      </c>
      <c r="B66" s="99">
        <v>44</v>
      </c>
      <c r="C66" s="112" t="s">
        <v>128</v>
      </c>
      <c r="D66" s="113" t="s">
        <v>129</v>
      </c>
      <c r="E66" s="113"/>
      <c r="F66" s="64" t="s">
        <v>130</v>
      </c>
      <c r="G66" s="65">
        <v>4760</v>
      </c>
      <c r="H66" s="64">
        <v>2</v>
      </c>
      <c r="I66" s="66">
        <f t="shared" si="3"/>
        <v>4760</v>
      </c>
      <c r="J66" s="66"/>
      <c r="K66" s="66">
        <f>(G66+I66+O66+P66+N66)*30%</f>
        <v>4238.1119999999992</v>
      </c>
      <c r="L66" s="66"/>
      <c r="M66" s="114"/>
      <c r="N66" s="115">
        <v>3160</v>
      </c>
      <c r="O66" s="116">
        <f>533.12*2</f>
        <v>1066.24</v>
      </c>
      <c r="P66" s="116">
        <v>380.8</v>
      </c>
      <c r="Q66" s="116"/>
      <c r="R66" s="116"/>
      <c r="S66" s="116"/>
      <c r="T66" s="116"/>
      <c r="U66" s="116"/>
      <c r="V66" s="116"/>
      <c r="W66" s="68">
        <f t="shared" si="4"/>
        <v>18365.152000000002</v>
      </c>
      <c r="X66" s="119"/>
      <c r="Y66" s="119"/>
      <c r="Z66" s="66">
        <f t="shared" si="5"/>
        <v>18365.152000000002</v>
      </c>
      <c r="AA66" s="117"/>
    </row>
    <row r="67" spans="1:28" s="97" customFormat="1" ht="16" thickBot="1">
      <c r="A67" s="59">
        <v>41</v>
      </c>
      <c r="B67" s="48">
        <v>45</v>
      </c>
      <c r="C67" s="112" t="s">
        <v>131</v>
      </c>
      <c r="D67" s="113" t="s">
        <v>129</v>
      </c>
      <c r="E67" s="113"/>
      <c r="F67" s="64" t="s">
        <v>132</v>
      </c>
      <c r="G67" s="65">
        <v>4379.2</v>
      </c>
      <c r="H67" s="64">
        <v>2</v>
      </c>
      <c r="I67" s="66">
        <f t="shared" si="3"/>
        <v>4379.2</v>
      </c>
      <c r="J67" s="66"/>
      <c r="K67" s="66">
        <f t="shared" ref="K67:K72" si="9">(G67+I67+O67+P67+N67)*50%</f>
        <v>6111.36</v>
      </c>
      <c r="L67" s="66">
        <v>3307.36</v>
      </c>
      <c r="M67" s="114"/>
      <c r="N67" s="115">
        <v>2360</v>
      </c>
      <c r="O67" s="116">
        <f>456.96*2</f>
        <v>913.92</v>
      </c>
      <c r="P67" s="116">
        <v>190.4</v>
      </c>
      <c r="Q67" s="116"/>
      <c r="R67" s="116"/>
      <c r="S67" s="116"/>
      <c r="T67" s="116"/>
      <c r="U67" s="116"/>
      <c r="V67" s="116"/>
      <c r="W67" s="68">
        <f>G67+I67+J67+K67+M67+N67+O67+P67+Q67+R67+S67+T67+U67+V67+L67</f>
        <v>21641.439999999999</v>
      </c>
      <c r="X67" s="119"/>
      <c r="Y67" s="119"/>
      <c r="Z67" s="66">
        <f t="shared" si="5"/>
        <v>21641.439999999999</v>
      </c>
      <c r="AA67" s="117"/>
    </row>
    <row r="68" spans="1:28" s="97" customFormat="1" ht="15.5">
      <c r="A68" s="59">
        <v>42</v>
      </c>
      <c r="B68" s="48">
        <v>46</v>
      </c>
      <c r="C68" s="112" t="s">
        <v>133</v>
      </c>
      <c r="D68" s="113" t="s">
        <v>129</v>
      </c>
      <c r="E68" s="113"/>
      <c r="F68" s="64" t="s">
        <v>130</v>
      </c>
      <c r="G68" s="65">
        <v>4760</v>
      </c>
      <c r="H68" s="64">
        <v>2</v>
      </c>
      <c r="I68" s="66">
        <f t="shared" si="3"/>
        <v>4760</v>
      </c>
      <c r="J68" s="66"/>
      <c r="K68" s="66">
        <f t="shared" si="9"/>
        <v>7043.92</v>
      </c>
      <c r="L68" s="66"/>
      <c r="M68" s="114"/>
      <c r="N68" s="115">
        <v>2740</v>
      </c>
      <c r="O68" s="116">
        <f>723.52*2</f>
        <v>1447.04</v>
      </c>
      <c r="P68" s="116">
        <v>380.8</v>
      </c>
      <c r="Q68" s="116"/>
      <c r="R68" s="116"/>
      <c r="S68" s="116"/>
      <c r="T68" s="116"/>
      <c r="U68" s="116"/>
      <c r="V68" s="116"/>
      <c r="W68" s="68">
        <f>G68+I68+J68+K68+M68+N68+O68+P68+Q68+R68+S68+T68+U68+V68</f>
        <v>21131.759999999998</v>
      </c>
      <c r="X68" s="119"/>
      <c r="Y68" s="119"/>
      <c r="Z68" s="66">
        <f t="shared" si="5"/>
        <v>21131.759999999998</v>
      </c>
      <c r="AA68" s="117"/>
    </row>
    <row r="69" spans="1:28" s="97" customFormat="1" ht="16" thickBot="1">
      <c r="A69" s="59">
        <v>43</v>
      </c>
      <c r="B69" s="99">
        <v>47</v>
      </c>
      <c r="C69" s="112" t="s">
        <v>134</v>
      </c>
      <c r="D69" s="113" t="s">
        <v>129</v>
      </c>
      <c r="E69" s="113"/>
      <c r="F69" s="64" t="s">
        <v>135</v>
      </c>
      <c r="G69" s="65">
        <v>2856</v>
      </c>
      <c r="H69" s="64">
        <v>2</v>
      </c>
      <c r="I69" s="66">
        <f t="shared" si="3"/>
        <v>2856</v>
      </c>
      <c r="J69" s="66"/>
      <c r="K69" s="66">
        <f t="shared" si="9"/>
        <v>4076.24</v>
      </c>
      <c r="L69" s="66"/>
      <c r="M69" s="114"/>
      <c r="N69" s="115">
        <v>1260</v>
      </c>
      <c r="O69" s="116">
        <f>495.04*2</f>
        <v>990.08</v>
      </c>
      <c r="P69" s="116">
        <v>190.4</v>
      </c>
      <c r="Q69" s="116">
        <v>2059.14</v>
      </c>
      <c r="R69" s="116">
        <v>3431.9</v>
      </c>
      <c r="S69" s="116"/>
      <c r="T69" s="116"/>
      <c r="U69" s="116"/>
      <c r="V69" s="116"/>
      <c r="W69" s="68">
        <f>G69+I69+J69+K69+M69+N69+O69+P69+Q69+R69+S69+T69+U69+V69</f>
        <v>17719.759999999998</v>
      </c>
      <c r="X69" s="119"/>
      <c r="Y69" s="119"/>
      <c r="Z69" s="66">
        <f t="shared" si="5"/>
        <v>17719.759999999998</v>
      </c>
      <c r="AA69" s="117"/>
    </row>
    <row r="70" spans="1:28" s="97" customFormat="1" ht="16" thickBot="1">
      <c r="A70" s="59">
        <v>44</v>
      </c>
      <c r="B70" s="48">
        <v>48</v>
      </c>
      <c r="C70" s="112" t="s">
        <v>136</v>
      </c>
      <c r="D70" s="113" t="s">
        <v>129</v>
      </c>
      <c r="E70" s="113"/>
      <c r="F70" s="130" t="s">
        <v>137</v>
      </c>
      <c r="G70" s="65">
        <v>915.38</v>
      </c>
      <c r="H70" s="64">
        <v>2</v>
      </c>
      <c r="I70" s="66">
        <f t="shared" si="3"/>
        <v>915.38</v>
      </c>
      <c r="J70" s="66"/>
      <c r="K70" s="66">
        <f t="shared" si="9"/>
        <v>988.61</v>
      </c>
      <c r="L70" s="66"/>
      <c r="M70" s="114"/>
      <c r="N70" s="115">
        <v>0</v>
      </c>
      <c r="O70" s="116">
        <f>73.23*2</f>
        <v>146.46</v>
      </c>
      <c r="P70" s="116"/>
      <c r="Q70" s="116">
        <v>4934.16</v>
      </c>
      <c r="R70" s="116">
        <v>22203.72</v>
      </c>
      <c r="S70" s="116"/>
      <c r="T70" s="116"/>
      <c r="U70" s="116"/>
      <c r="V70" s="116"/>
      <c r="W70" s="68">
        <f>G70+I70+J70+K70+M70+N70+O70+P70+Q70+R70+S70+T70+U70+V70+L70</f>
        <v>30103.71</v>
      </c>
      <c r="X70" s="119"/>
      <c r="Y70" s="116"/>
      <c r="Z70" s="66">
        <f>W70-X70-Y70</f>
        <v>30103.71</v>
      </c>
      <c r="AA70" s="117"/>
    </row>
    <row r="71" spans="1:28" s="97" customFormat="1" ht="15.5">
      <c r="A71" s="59">
        <v>45</v>
      </c>
      <c r="B71" s="48">
        <v>49</v>
      </c>
      <c r="C71" s="112" t="s">
        <v>138</v>
      </c>
      <c r="D71" s="113" t="s">
        <v>129</v>
      </c>
      <c r="E71" s="113"/>
      <c r="F71" s="64" t="s">
        <v>130</v>
      </c>
      <c r="G71" s="65">
        <v>4760</v>
      </c>
      <c r="H71" s="64">
        <v>2</v>
      </c>
      <c r="I71" s="66">
        <f t="shared" si="3"/>
        <v>4760</v>
      </c>
      <c r="J71" s="66"/>
      <c r="K71" s="66">
        <f t="shared" si="9"/>
        <v>6929.6799999999994</v>
      </c>
      <c r="L71" s="66"/>
      <c r="M71" s="114"/>
      <c r="N71" s="115">
        <v>2740</v>
      </c>
      <c r="O71" s="116">
        <f>609.28*2</f>
        <v>1218.56</v>
      </c>
      <c r="P71" s="116">
        <v>380.8</v>
      </c>
      <c r="Q71" s="116"/>
      <c r="R71" s="116"/>
      <c r="S71" s="116"/>
      <c r="T71" s="116"/>
      <c r="U71" s="116"/>
      <c r="V71" s="116"/>
      <c r="W71" s="68">
        <f t="shared" ref="W71:W81" si="10">G71+I71+J71+K71+M71+N71+O71+P71+Q71+R71+S71+T71+U71+V71</f>
        <v>20789.04</v>
      </c>
      <c r="X71" s="119"/>
      <c r="Y71" s="119"/>
      <c r="Z71" s="66">
        <f t="shared" ref="Z71:Z80" si="11">W71-X71</f>
        <v>20789.04</v>
      </c>
      <c r="AA71" s="117"/>
    </row>
    <row r="72" spans="1:28" s="97" customFormat="1" ht="16" thickBot="1">
      <c r="A72" s="59">
        <v>46</v>
      </c>
      <c r="B72" s="99">
        <v>50</v>
      </c>
      <c r="C72" s="112" t="s">
        <v>139</v>
      </c>
      <c r="D72" s="113" t="s">
        <v>129</v>
      </c>
      <c r="E72" s="113"/>
      <c r="F72" s="64" t="s">
        <v>130</v>
      </c>
      <c r="G72" s="65">
        <v>4760</v>
      </c>
      <c r="H72" s="64">
        <v>2</v>
      </c>
      <c r="I72" s="66">
        <f t="shared" si="3"/>
        <v>4760</v>
      </c>
      <c r="J72" s="66"/>
      <c r="K72" s="66">
        <f t="shared" si="9"/>
        <v>6929.6799999999994</v>
      </c>
      <c r="L72" s="66"/>
      <c r="M72" s="114"/>
      <c r="N72" s="115">
        <v>2740</v>
      </c>
      <c r="O72" s="116">
        <f>609.28*2</f>
        <v>1218.56</v>
      </c>
      <c r="P72" s="116">
        <v>380.8</v>
      </c>
      <c r="Q72" s="116"/>
      <c r="R72" s="116"/>
      <c r="S72" s="116"/>
      <c r="T72" s="116"/>
      <c r="U72" s="116"/>
      <c r="V72" s="116"/>
      <c r="W72" s="68">
        <f t="shared" si="10"/>
        <v>20789.04</v>
      </c>
      <c r="X72" s="119"/>
      <c r="Y72" s="119"/>
      <c r="Z72" s="66">
        <f t="shared" si="11"/>
        <v>20789.04</v>
      </c>
      <c r="AA72" s="117"/>
    </row>
    <row r="73" spans="1:28" s="97" customFormat="1" ht="16" thickBot="1">
      <c r="A73" s="59">
        <v>47</v>
      </c>
      <c r="B73" s="48">
        <v>51</v>
      </c>
      <c r="C73" s="112" t="s">
        <v>140</v>
      </c>
      <c r="D73" s="113" t="s">
        <v>129</v>
      </c>
      <c r="E73" s="113"/>
      <c r="F73" s="64" t="s">
        <v>130</v>
      </c>
      <c r="G73" s="65">
        <v>4760</v>
      </c>
      <c r="H73" s="64">
        <v>2</v>
      </c>
      <c r="I73" s="66">
        <f t="shared" si="3"/>
        <v>4760</v>
      </c>
      <c r="J73" s="66"/>
      <c r="K73" s="66">
        <f>(G73+I73+O73+P73+N73)*40%</f>
        <v>5619.7439999999997</v>
      </c>
      <c r="L73" s="66"/>
      <c r="M73" s="114"/>
      <c r="N73" s="115">
        <v>2930</v>
      </c>
      <c r="O73" s="116">
        <f>609.28*2</f>
        <v>1218.56</v>
      </c>
      <c r="P73" s="116">
        <v>380.8</v>
      </c>
      <c r="Q73" s="116"/>
      <c r="R73" s="116"/>
      <c r="S73" s="116"/>
      <c r="T73" s="116"/>
      <c r="U73" s="116"/>
      <c r="V73" s="116"/>
      <c r="W73" s="68">
        <f t="shared" si="10"/>
        <v>19669.103999999999</v>
      </c>
      <c r="X73" s="119"/>
      <c r="Y73" s="119"/>
      <c r="Z73" s="66">
        <f t="shared" si="11"/>
        <v>19669.103999999999</v>
      </c>
      <c r="AA73" s="117"/>
    </row>
    <row r="74" spans="1:28" s="97" customFormat="1" ht="15.5">
      <c r="A74" s="59">
        <v>48</v>
      </c>
      <c r="B74" s="48">
        <v>52</v>
      </c>
      <c r="C74" s="112" t="s">
        <v>141</v>
      </c>
      <c r="D74" s="113" t="s">
        <v>129</v>
      </c>
      <c r="E74" s="113"/>
      <c r="F74" s="64" t="s">
        <v>130</v>
      </c>
      <c r="G74" s="65">
        <v>4760</v>
      </c>
      <c r="H74" s="64">
        <v>2</v>
      </c>
      <c r="I74" s="66">
        <f t="shared" si="3"/>
        <v>4760</v>
      </c>
      <c r="J74" s="66"/>
      <c r="K74" s="66">
        <f>(G74+I74+O74+P74+N74)*40/100</f>
        <v>5558.8159999999998</v>
      </c>
      <c r="L74" s="66"/>
      <c r="M74" s="114"/>
      <c r="N74" s="115">
        <v>2930</v>
      </c>
      <c r="O74" s="116">
        <f>533.12*2</f>
        <v>1066.24</v>
      </c>
      <c r="P74" s="116">
        <v>380.8</v>
      </c>
      <c r="Q74" s="116"/>
      <c r="R74" s="116"/>
      <c r="S74" s="116"/>
      <c r="T74" s="116"/>
      <c r="U74" s="116"/>
      <c r="V74" s="116"/>
      <c r="W74" s="68">
        <f t="shared" si="10"/>
        <v>19455.856</v>
      </c>
      <c r="X74" s="119"/>
      <c r="Y74" s="119"/>
      <c r="Z74" s="66">
        <f t="shared" si="11"/>
        <v>19455.856</v>
      </c>
      <c r="AA74" s="117"/>
    </row>
    <row r="75" spans="1:28" s="97" customFormat="1" ht="16" thickBot="1">
      <c r="A75" s="59">
        <v>49</v>
      </c>
      <c r="B75" s="99">
        <v>53</v>
      </c>
      <c r="C75" s="112" t="s">
        <v>142</v>
      </c>
      <c r="D75" s="113" t="s">
        <v>129</v>
      </c>
      <c r="E75" s="113"/>
      <c r="F75" s="64" t="s">
        <v>130</v>
      </c>
      <c r="G75" s="65">
        <v>4760</v>
      </c>
      <c r="H75" s="64">
        <v>2</v>
      </c>
      <c r="I75" s="66">
        <f t="shared" si="3"/>
        <v>4760</v>
      </c>
      <c r="J75" s="66"/>
      <c r="K75" s="66">
        <f>(G75+I75+O75+P75+N75)*40%</f>
        <v>5650.2079999999996</v>
      </c>
      <c r="L75" s="66"/>
      <c r="M75" s="114"/>
      <c r="N75" s="115">
        <v>2930</v>
      </c>
      <c r="O75" s="116">
        <f>647.36*2</f>
        <v>1294.72</v>
      </c>
      <c r="P75" s="116">
        <v>380.8</v>
      </c>
      <c r="Q75" s="116"/>
      <c r="R75" s="116"/>
      <c r="S75" s="116"/>
      <c r="T75" s="116"/>
      <c r="U75" s="116"/>
      <c r="V75" s="116"/>
      <c r="W75" s="68">
        <f t="shared" si="10"/>
        <v>19775.727999999999</v>
      </c>
      <c r="X75" s="119"/>
      <c r="Y75" s="119"/>
      <c r="Z75" s="66">
        <f t="shared" si="11"/>
        <v>19775.727999999999</v>
      </c>
      <c r="AA75" s="117"/>
    </row>
    <row r="76" spans="1:28" s="97" customFormat="1" ht="16" thickBot="1">
      <c r="A76" s="59">
        <v>50</v>
      </c>
      <c r="B76" s="48">
        <v>54</v>
      </c>
      <c r="C76" s="112" t="s">
        <v>143</v>
      </c>
      <c r="D76" s="113" t="s">
        <v>129</v>
      </c>
      <c r="E76" s="113"/>
      <c r="F76" s="64" t="s">
        <v>130</v>
      </c>
      <c r="G76" s="65">
        <v>4760</v>
      </c>
      <c r="H76" s="64">
        <v>2</v>
      </c>
      <c r="I76" s="66">
        <f t="shared" si="3"/>
        <v>4760</v>
      </c>
      <c r="J76" s="66"/>
      <c r="K76" s="66">
        <f t="shared" ref="K76:K81" si="12">(G76+I76+O76+P76+N76)*50%</f>
        <v>6981.4</v>
      </c>
      <c r="L76" s="66"/>
      <c r="M76" s="114"/>
      <c r="N76" s="115">
        <v>3110</v>
      </c>
      <c r="O76" s="116">
        <f>571.2*2</f>
        <v>1142.4000000000001</v>
      </c>
      <c r="P76" s="116">
        <v>190.4</v>
      </c>
      <c r="Q76" s="116"/>
      <c r="R76" s="116"/>
      <c r="S76" s="116"/>
      <c r="T76" s="116"/>
      <c r="U76" s="116"/>
      <c r="V76" s="116"/>
      <c r="W76" s="68">
        <f t="shared" si="10"/>
        <v>20944.200000000004</v>
      </c>
      <c r="X76" s="119"/>
      <c r="Y76" s="119"/>
      <c r="Z76" s="66">
        <f t="shared" si="11"/>
        <v>20944.200000000004</v>
      </c>
      <c r="AA76" s="117"/>
    </row>
    <row r="77" spans="1:28" s="97" customFormat="1" ht="15.5">
      <c r="A77" s="59">
        <v>51</v>
      </c>
      <c r="B77" s="48">
        <v>55</v>
      </c>
      <c r="C77" s="112" t="s">
        <v>144</v>
      </c>
      <c r="D77" s="113" t="s">
        <v>129</v>
      </c>
      <c r="E77" s="113"/>
      <c r="F77" s="64" t="s">
        <v>130</v>
      </c>
      <c r="G77" s="65">
        <v>4760</v>
      </c>
      <c r="H77" s="64">
        <v>2</v>
      </c>
      <c r="I77" s="66">
        <f t="shared" si="3"/>
        <v>4760</v>
      </c>
      <c r="J77" s="66"/>
      <c r="K77" s="66">
        <f t="shared" si="12"/>
        <v>6967.7599999999993</v>
      </c>
      <c r="L77" s="66"/>
      <c r="M77" s="114"/>
      <c r="N77" s="115">
        <v>2740</v>
      </c>
      <c r="O77" s="116">
        <f>647.36*2</f>
        <v>1294.72</v>
      </c>
      <c r="P77" s="116">
        <v>380.8</v>
      </c>
      <c r="Q77" s="116"/>
      <c r="R77" s="116"/>
      <c r="S77" s="116"/>
      <c r="T77" s="116"/>
      <c r="U77" s="116"/>
      <c r="V77" s="116"/>
      <c r="W77" s="68">
        <f t="shared" si="10"/>
        <v>20903.28</v>
      </c>
      <c r="X77" s="119"/>
      <c r="Y77" s="119"/>
      <c r="Z77" s="66">
        <f t="shared" si="11"/>
        <v>20903.28</v>
      </c>
      <c r="AA77" s="117"/>
    </row>
    <row r="78" spans="1:28" s="97" customFormat="1" ht="16" thickBot="1">
      <c r="A78" s="59">
        <v>53</v>
      </c>
      <c r="B78" s="99">
        <v>56</v>
      </c>
      <c r="C78" s="112" t="s">
        <v>145</v>
      </c>
      <c r="D78" s="113" t="s">
        <v>129</v>
      </c>
      <c r="E78" s="113"/>
      <c r="F78" s="64" t="s">
        <v>130</v>
      </c>
      <c r="G78" s="65">
        <v>4760</v>
      </c>
      <c r="H78" s="64">
        <v>2</v>
      </c>
      <c r="I78" s="66">
        <f t="shared" si="3"/>
        <v>4760</v>
      </c>
      <c r="J78" s="66"/>
      <c r="K78" s="66">
        <f t="shared" si="12"/>
        <v>6633.72</v>
      </c>
      <c r="L78" s="66"/>
      <c r="M78" s="114"/>
      <c r="N78" s="115">
        <v>2110</v>
      </c>
      <c r="O78" s="116">
        <f>723.52*2</f>
        <v>1447.04</v>
      </c>
      <c r="P78" s="116">
        <v>190.4</v>
      </c>
      <c r="Q78" s="116"/>
      <c r="R78" s="116"/>
      <c r="S78" s="116"/>
      <c r="T78" s="116"/>
      <c r="U78" s="116"/>
      <c r="V78" s="116"/>
      <c r="W78" s="68">
        <f t="shared" si="10"/>
        <v>19901.160000000003</v>
      </c>
      <c r="X78" s="119"/>
      <c r="Y78" s="119"/>
      <c r="Z78" s="66">
        <f t="shared" si="11"/>
        <v>19901.160000000003</v>
      </c>
      <c r="AA78" s="117"/>
    </row>
    <row r="79" spans="1:28" s="97" customFormat="1" ht="16" thickBot="1">
      <c r="A79" s="59">
        <v>54</v>
      </c>
      <c r="B79" s="48">
        <v>57</v>
      </c>
      <c r="C79" s="112" t="s">
        <v>146</v>
      </c>
      <c r="D79" s="113" t="s">
        <v>129</v>
      </c>
      <c r="E79" s="113"/>
      <c r="F79" s="64" t="s">
        <v>130</v>
      </c>
      <c r="G79" s="65">
        <v>4760</v>
      </c>
      <c r="H79" s="64">
        <v>2</v>
      </c>
      <c r="I79" s="66">
        <f t="shared" si="3"/>
        <v>4760</v>
      </c>
      <c r="J79" s="66"/>
      <c r="K79" s="66">
        <f t="shared" si="12"/>
        <v>6916.5999999999995</v>
      </c>
      <c r="L79" s="66"/>
      <c r="M79" s="114"/>
      <c r="N79" s="115">
        <v>2790</v>
      </c>
      <c r="O79" s="116">
        <f>571.2*2</f>
        <v>1142.4000000000001</v>
      </c>
      <c r="P79" s="116">
        <v>380.8</v>
      </c>
      <c r="Q79" s="116"/>
      <c r="R79" s="116"/>
      <c r="S79" s="116"/>
      <c r="T79" s="116"/>
      <c r="U79" s="116"/>
      <c r="V79" s="116"/>
      <c r="W79" s="68">
        <f t="shared" si="10"/>
        <v>20749.8</v>
      </c>
      <c r="X79" s="119"/>
      <c r="Y79" s="119"/>
      <c r="Z79" s="66">
        <f t="shared" si="11"/>
        <v>20749.8</v>
      </c>
      <c r="AA79" s="117"/>
    </row>
    <row r="80" spans="1:28" s="97" customFormat="1" ht="15.5">
      <c r="A80" s="59">
        <v>55</v>
      </c>
      <c r="B80" s="48">
        <v>58</v>
      </c>
      <c r="C80" s="112" t="s">
        <v>147</v>
      </c>
      <c r="D80" s="113" t="s">
        <v>129</v>
      </c>
      <c r="E80" s="113"/>
      <c r="F80" s="64" t="s">
        <v>148</v>
      </c>
      <c r="G80" s="65">
        <v>4231.1099999999997</v>
      </c>
      <c r="H80" s="64">
        <v>2</v>
      </c>
      <c r="I80" s="66">
        <f t="shared" si="3"/>
        <v>4231.1099999999997</v>
      </c>
      <c r="J80" s="66"/>
      <c r="K80" s="66">
        <f t="shared" si="12"/>
        <v>4883.4199999999992</v>
      </c>
      <c r="L80" s="66"/>
      <c r="M80" s="114"/>
      <c r="N80" s="115"/>
      <c r="O80" s="116">
        <f>564.16*2</f>
        <v>1128.32</v>
      </c>
      <c r="P80" s="116">
        <v>176.3</v>
      </c>
      <c r="Q80" s="116">
        <v>2210.2800000000002</v>
      </c>
      <c r="R80" s="116">
        <v>3683.8</v>
      </c>
      <c r="S80" s="116"/>
      <c r="T80" s="116"/>
      <c r="U80" s="116"/>
      <c r="V80" s="116"/>
      <c r="W80" s="68">
        <f t="shared" si="10"/>
        <v>20544.339999999997</v>
      </c>
      <c r="X80" s="119"/>
      <c r="Y80" s="119"/>
      <c r="Z80" s="66">
        <f t="shared" si="11"/>
        <v>20544.339999999997</v>
      </c>
      <c r="AA80" s="117"/>
    </row>
    <row r="81" spans="1:29" s="97" customFormat="1" ht="16" thickBot="1">
      <c r="A81" s="133">
        <v>56</v>
      </c>
      <c r="B81" s="99">
        <v>59</v>
      </c>
      <c r="C81" s="134" t="s">
        <v>149</v>
      </c>
      <c r="D81" s="135" t="s">
        <v>129</v>
      </c>
      <c r="E81" s="135"/>
      <c r="F81" s="136" t="s">
        <v>130</v>
      </c>
      <c r="G81" s="137">
        <v>4760</v>
      </c>
      <c r="H81" s="136">
        <v>2</v>
      </c>
      <c r="I81" s="138">
        <f t="shared" si="3"/>
        <v>4760</v>
      </c>
      <c r="J81" s="138"/>
      <c r="K81" s="138">
        <f t="shared" si="12"/>
        <v>5502.5599999999995</v>
      </c>
      <c r="L81" s="138"/>
      <c r="M81" s="139"/>
      <c r="N81" s="140"/>
      <c r="O81" s="141">
        <f>647.36*2</f>
        <v>1294.72</v>
      </c>
      <c r="P81" s="141">
        <v>190.4</v>
      </c>
      <c r="Q81" s="141"/>
      <c r="R81" s="141"/>
      <c r="S81" s="141"/>
      <c r="T81" s="141"/>
      <c r="U81" s="141"/>
      <c r="V81" s="141"/>
      <c r="W81" s="84">
        <f t="shared" si="10"/>
        <v>16507.68</v>
      </c>
      <c r="X81" s="132"/>
      <c r="Y81" s="141"/>
      <c r="Z81" s="138">
        <f>W81-X81-Y81</f>
        <v>16507.68</v>
      </c>
      <c r="AA81" s="142"/>
    </row>
    <row r="82" spans="1:29" s="97" customFormat="1" ht="16" thickBot="1">
      <c r="A82" s="143" t="s">
        <v>150</v>
      </c>
      <c r="B82" s="144"/>
      <c r="C82" s="145"/>
      <c r="D82" s="145"/>
      <c r="E82" s="145"/>
      <c r="F82" s="146"/>
      <c r="G82" s="147">
        <f>SUM(G29:G81)</f>
        <v>288522.55</v>
      </c>
      <c r="H82" s="146"/>
      <c r="I82" s="147">
        <f>SUM(I29:I81)</f>
        <v>288522.55</v>
      </c>
      <c r="J82" s="147">
        <f>SUM(J29:J81)</f>
        <v>0</v>
      </c>
      <c r="K82" s="147">
        <f>SUM(K29:K81)</f>
        <v>368618.13199999998</v>
      </c>
      <c r="L82" s="147">
        <f>SUM(L29:L81)</f>
        <v>3307.36</v>
      </c>
      <c r="M82" s="148"/>
      <c r="N82" s="149">
        <f t="shared" ref="N82:S82" si="13">SUM(N29:N81)</f>
        <v>108730</v>
      </c>
      <c r="O82" s="148">
        <f t="shared" si="13"/>
        <v>63249.819999999985</v>
      </c>
      <c r="P82" s="148">
        <f t="shared" si="13"/>
        <v>24250.2</v>
      </c>
      <c r="Q82" s="148">
        <f t="shared" si="13"/>
        <v>17498.189999999999</v>
      </c>
      <c r="R82" s="148">
        <f t="shared" si="13"/>
        <v>46421.41</v>
      </c>
      <c r="S82" s="148">
        <f t="shared" si="13"/>
        <v>91844.32</v>
      </c>
      <c r="T82" s="148"/>
      <c r="U82" s="148"/>
      <c r="V82" s="148">
        <f>SUM(V29:V81)</f>
        <v>0</v>
      </c>
      <c r="W82" s="148">
        <f>SUM(W29:W81)</f>
        <v>1300964.5319999999</v>
      </c>
      <c r="X82" s="150">
        <f>SUM(X29:X81)</f>
        <v>0</v>
      </c>
      <c r="Y82" s="148">
        <f>SUM(Y29:Y81)</f>
        <v>0</v>
      </c>
      <c r="Z82" s="148">
        <f>SUM(Z29:Z81)</f>
        <v>1300964.5319999999</v>
      </c>
      <c r="AA82" s="151"/>
    </row>
    <row r="83" spans="1:29">
      <c r="AC83" s="159"/>
    </row>
    <row r="84" spans="1:29" ht="15.5">
      <c r="A84" s="161" t="s">
        <v>151</v>
      </c>
      <c r="B84" s="161"/>
      <c r="C84" s="161"/>
      <c r="D84" s="161"/>
      <c r="E84" s="161"/>
      <c r="F84" s="152"/>
      <c r="G84" s="161"/>
      <c r="H84" s="152"/>
      <c r="I84" s="161"/>
      <c r="J84" s="161"/>
      <c r="K84" s="161"/>
      <c r="W84" s="162"/>
      <c r="X84" s="162"/>
      <c r="Y84" s="162"/>
      <c r="AC84" s="159"/>
    </row>
    <row r="85" spans="1:29" ht="15.5">
      <c r="A85" s="163"/>
      <c r="B85" s="163"/>
      <c r="W85" s="162"/>
      <c r="X85" s="162"/>
      <c r="Y85" s="162"/>
      <c r="AC85" s="159"/>
    </row>
    <row r="86" spans="1:29" ht="15.5">
      <c r="A86" s="163"/>
      <c r="B86" s="163"/>
      <c r="W86" s="162"/>
      <c r="X86" s="162"/>
      <c r="Y86" s="162"/>
      <c r="AC86" s="159"/>
    </row>
    <row r="87" spans="1:29" ht="15.5">
      <c r="A87" s="161" t="s">
        <v>152</v>
      </c>
      <c r="B87" s="161"/>
      <c r="C87" s="161"/>
      <c r="D87" s="161"/>
      <c r="E87" s="161"/>
      <c r="W87" s="162"/>
      <c r="X87" s="162"/>
      <c r="Y87" s="162"/>
    </row>
  </sheetData>
  <mergeCells count="103">
    <mergeCell ref="W84:Y87"/>
    <mergeCell ref="D77:E77"/>
    <mergeCell ref="D78:E78"/>
    <mergeCell ref="D79:E79"/>
    <mergeCell ref="D80:E80"/>
    <mergeCell ref="D81:E81"/>
    <mergeCell ref="A82:E82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A27:E27"/>
    <mergeCell ref="A28:AA28"/>
    <mergeCell ref="U17:U18"/>
    <mergeCell ref="AB17:AB18"/>
    <mergeCell ref="D19:E19"/>
    <mergeCell ref="A20:AA20"/>
    <mergeCell ref="D21:E21"/>
    <mergeCell ref="D22:E22"/>
    <mergeCell ref="W16:W18"/>
    <mergeCell ref="X16:X18"/>
    <mergeCell ref="Y16:Y18"/>
    <mergeCell ref="Z16:Z18"/>
    <mergeCell ref="AA16:AA18"/>
    <mergeCell ref="B17:B18"/>
    <mergeCell ref="J17:J18"/>
    <mergeCell ref="K17:K18"/>
    <mergeCell ref="O17:O18"/>
    <mergeCell ref="P17:P18"/>
    <mergeCell ref="M16:M18"/>
    <mergeCell ref="N16:N18"/>
    <mergeCell ref="O16:P16"/>
    <mergeCell ref="Q16:R16"/>
    <mergeCell ref="S16:U16"/>
    <mergeCell ref="V16:V18"/>
    <mergeCell ref="Q17:Q18"/>
    <mergeCell ref="R17:R18"/>
    <mergeCell ref="S17:S18"/>
    <mergeCell ref="T17:T18"/>
    <mergeCell ref="A14:AA14"/>
    <mergeCell ref="A16:A18"/>
    <mergeCell ref="C16:C18"/>
    <mergeCell ref="D16:E18"/>
    <mergeCell ref="F16:F18"/>
    <mergeCell ref="G16:G18"/>
    <mergeCell ref="H16:H18"/>
    <mergeCell ref="I16:I18"/>
    <mergeCell ref="J16:K16"/>
    <mergeCell ref="L16:L18"/>
    <mergeCell ref="A6:E8"/>
    <mergeCell ref="A9:AA9"/>
    <mergeCell ref="A10:AA10"/>
    <mergeCell ref="A11:AA11"/>
    <mergeCell ref="A12:AA12"/>
    <mergeCell ref="A13:AA13"/>
  </mergeCells>
  <pageMargins left="0.7" right="0.7" top="0.75" bottom="0.75" header="0.3" footer="0.3"/>
  <pageSetup paperSize="9" orientation="portrait" horizontalDpi="180" verticalDpi="18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N64"/>
  <sheetViews>
    <sheetView tabSelected="1" workbookViewId="0">
      <selection activeCell="F7" sqref="F7"/>
    </sheetView>
  </sheetViews>
  <sheetFormatPr defaultRowHeight="14.5"/>
  <cols>
    <col min="2" max="2" width="24.1796875" customWidth="1"/>
    <col min="3" max="3" width="18" customWidth="1"/>
    <col min="4" max="4" width="11" customWidth="1"/>
  </cols>
  <sheetData>
    <row r="4" spans="2:14">
      <c r="B4" s="164" t="s">
        <v>153</v>
      </c>
    </row>
    <row r="5" spans="2:14">
      <c r="B5" s="164"/>
      <c r="C5" s="165"/>
      <c r="E5" s="166"/>
      <c r="F5" s="166"/>
      <c r="G5" s="166"/>
      <c r="H5" s="166"/>
      <c r="I5" s="166"/>
      <c r="J5" s="166"/>
      <c r="K5" s="166"/>
      <c r="L5" s="166"/>
      <c r="M5" s="167"/>
    </row>
    <row r="6" spans="2:14" s="21" customFormat="1" ht="12.75" customHeight="1">
      <c r="B6" s="11" t="s">
        <v>4</v>
      </c>
      <c r="C6" s="168"/>
      <c r="D6"/>
      <c r="E6" s="169"/>
      <c r="F6" s="169"/>
      <c r="G6" s="169"/>
      <c r="H6" s="169"/>
      <c r="I6" s="169"/>
      <c r="J6" s="169"/>
      <c r="K6" s="169"/>
      <c r="L6" s="169"/>
      <c r="M6" s="169"/>
    </row>
    <row r="7" spans="2:14" s="21" customFormat="1" ht="12.75" customHeight="1">
      <c r="B7" s="22"/>
      <c r="C7" s="170"/>
      <c r="D7"/>
      <c r="E7" s="169"/>
      <c r="F7" s="169"/>
      <c r="G7" s="169"/>
      <c r="H7" s="169"/>
      <c r="I7" s="169"/>
      <c r="J7" s="169"/>
      <c r="K7" s="169"/>
      <c r="L7" s="169"/>
      <c r="M7" s="169"/>
      <c r="N7" s="169"/>
    </row>
    <row r="8" spans="2:14" ht="15" customHeight="1">
      <c r="B8" s="13" t="s">
        <v>5</v>
      </c>
      <c r="C8" s="171"/>
    </row>
    <row r="9" spans="2:14" ht="14.25" customHeight="1">
      <c r="B9" s="23"/>
      <c r="C9" s="172"/>
    </row>
    <row r="10" spans="2:14" ht="15" customHeight="1">
      <c r="B10" s="30"/>
      <c r="C10" s="173"/>
    </row>
    <row r="11" spans="2:14" ht="15" customHeight="1">
      <c r="B11" s="11" t="s">
        <v>6</v>
      </c>
      <c r="C11" s="171"/>
    </row>
    <row r="12" spans="2:14" ht="15" customHeight="1">
      <c r="B12" s="22"/>
      <c r="C12" s="172"/>
    </row>
    <row r="13" spans="2:14">
      <c r="B13" s="29"/>
      <c r="C13" s="173"/>
    </row>
    <row r="14" spans="2:14" ht="15" customHeight="1">
      <c r="B14" s="11" t="s">
        <v>7</v>
      </c>
      <c r="C14" s="171"/>
    </row>
    <row r="15" spans="2:14">
      <c r="B15" s="22"/>
      <c r="C15" s="172"/>
    </row>
    <row r="16" spans="2:14">
      <c r="B16" s="29"/>
      <c r="C16" s="173"/>
    </row>
    <row r="17" spans="1:3">
      <c r="B17" s="11" t="s">
        <v>8</v>
      </c>
      <c r="C17" s="171"/>
    </row>
    <row r="18" spans="1:3">
      <c r="B18" s="22"/>
      <c r="C18" s="172"/>
    </row>
    <row r="19" spans="1:3">
      <c r="B19" s="29"/>
      <c r="C19" s="173"/>
    </row>
    <row r="20" spans="1:3">
      <c r="B20" s="15" t="s">
        <v>9</v>
      </c>
      <c r="C20" s="171"/>
    </row>
    <row r="21" spans="1:3">
      <c r="B21" s="25"/>
      <c r="C21" s="172"/>
    </row>
    <row r="22" spans="1:3">
      <c r="B22" s="32"/>
      <c r="C22" s="173"/>
    </row>
    <row r="23" spans="1:3">
      <c r="A23" s="174" t="s">
        <v>10</v>
      </c>
      <c r="B23" s="15" t="s">
        <v>24</v>
      </c>
      <c r="C23" s="171"/>
    </row>
    <row r="24" spans="1:3">
      <c r="A24" s="175"/>
      <c r="B24" s="32"/>
      <c r="C24" s="173"/>
    </row>
    <row r="25" spans="1:3">
      <c r="A25" s="175"/>
      <c r="B25" s="15" t="s">
        <v>25</v>
      </c>
      <c r="C25" s="171"/>
    </row>
    <row r="26" spans="1:3">
      <c r="A26" s="176"/>
      <c r="B26" s="32"/>
      <c r="C26" s="173"/>
    </row>
    <row r="27" spans="1:3">
      <c r="B27" s="15" t="s">
        <v>11</v>
      </c>
      <c r="C27" s="177"/>
    </row>
    <row r="28" spans="1:3">
      <c r="B28" s="25"/>
      <c r="C28" s="178"/>
    </row>
    <row r="29" spans="1:3">
      <c r="B29" s="32"/>
      <c r="C29" s="179"/>
    </row>
    <row r="30" spans="1:3">
      <c r="B30" s="15" t="s">
        <v>12</v>
      </c>
      <c r="C30" s="171"/>
    </row>
    <row r="31" spans="1:3">
      <c r="B31" s="25"/>
      <c r="C31" s="172"/>
    </row>
    <row r="32" spans="1:3">
      <c r="B32" s="32"/>
      <c r="C32" s="172"/>
    </row>
    <row r="33" spans="1:3">
      <c r="B33" s="180" t="s">
        <v>13</v>
      </c>
      <c r="C33" s="171"/>
    </row>
    <row r="34" spans="1:3">
      <c r="B34" s="181"/>
      <c r="C34" s="172"/>
    </row>
    <row r="35" spans="1:3">
      <c r="B35" s="182"/>
      <c r="C35" s="173"/>
    </row>
    <row r="36" spans="1:3">
      <c r="A36" s="174" t="s">
        <v>14</v>
      </c>
      <c r="B36" s="15" t="s">
        <v>26</v>
      </c>
      <c r="C36" s="171"/>
    </row>
    <row r="37" spans="1:3">
      <c r="A37" s="183"/>
      <c r="B37" s="32"/>
      <c r="C37" s="179"/>
    </row>
    <row r="38" spans="1:3">
      <c r="A38" s="183"/>
      <c r="B38" s="15" t="s">
        <v>27</v>
      </c>
      <c r="C38" s="177"/>
    </row>
    <row r="39" spans="1:3">
      <c r="A39" s="184"/>
      <c r="B39" s="32"/>
      <c r="C39" s="179"/>
    </row>
    <row r="40" spans="1:3">
      <c r="A40" s="174" t="s">
        <v>15</v>
      </c>
      <c r="B40" s="15" t="s">
        <v>28</v>
      </c>
      <c r="C40" s="177"/>
    </row>
    <row r="41" spans="1:3">
      <c r="A41" s="183"/>
      <c r="B41" s="32"/>
      <c r="C41" s="179"/>
    </row>
    <row r="42" spans="1:3">
      <c r="A42" s="183"/>
      <c r="B42" s="15" t="s">
        <v>29</v>
      </c>
      <c r="C42" s="177"/>
    </row>
    <row r="43" spans="1:3">
      <c r="A43" s="184"/>
      <c r="B43" s="32"/>
      <c r="C43" s="179"/>
    </row>
    <row r="44" spans="1:3">
      <c r="A44" s="174" t="s">
        <v>16</v>
      </c>
      <c r="B44" s="15" t="s">
        <v>30</v>
      </c>
      <c r="C44" s="177"/>
    </row>
    <row r="45" spans="1:3">
      <c r="A45" s="183"/>
      <c r="B45" s="32"/>
      <c r="C45" s="179"/>
    </row>
    <row r="46" spans="1:3">
      <c r="A46" s="183"/>
      <c r="B46" s="15" t="s">
        <v>31</v>
      </c>
      <c r="C46" s="177"/>
    </row>
    <row r="47" spans="1:3">
      <c r="A47" s="183"/>
      <c r="B47" s="32"/>
      <c r="C47" s="179"/>
    </row>
    <row r="48" spans="1:3">
      <c r="A48" s="183"/>
      <c r="B48" s="15" t="s">
        <v>32</v>
      </c>
      <c r="C48" s="177"/>
    </row>
    <row r="49" spans="1:3">
      <c r="A49" s="184"/>
      <c r="B49" s="32"/>
      <c r="C49" s="179"/>
    </row>
    <row r="50" spans="1:3">
      <c r="B50" s="15" t="s">
        <v>17</v>
      </c>
      <c r="C50" s="177"/>
    </row>
    <row r="51" spans="1:3">
      <c r="B51" s="25"/>
      <c r="C51" s="178"/>
    </row>
    <row r="52" spans="1:3">
      <c r="B52" s="32"/>
      <c r="C52" s="179"/>
    </row>
    <row r="53" spans="1:3">
      <c r="B53" s="20" t="s">
        <v>18</v>
      </c>
      <c r="C53" s="177"/>
    </row>
    <row r="54" spans="1:3">
      <c r="B54" s="27"/>
      <c r="C54" s="178"/>
    </row>
    <row r="55" spans="1:3">
      <c r="B55" s="34"/>
      <c r="C55" s="179"/>
    </row>
    <row r="56" spans="1:3">
      <c r="B56" s="11" t="s">
        <v>19</v>
      </c>
      <c r="C56" s="177"/>
    </row>
    <row r="57" spans="1:3">
      <c r="B57" s="22"/>
      <c r="C57" s="178"/>
    </row>
    <row r="58" spans="1:3">
      <c r="B58" s="29"/>
      <c r="C58" s="179"/>
    </row>
    <row r="59" spans="1:3">
      <c r="B59" s="11" t="s">
        <v>20</v>
      </c>
      <c r="C59" s="178"/>
    </row>
    <row r="60" spans="1:3">
      <c r="B60" s="22"/>
      <c r="C60" s="178"/>
    </row>
    <row r="61" spans="1:3">
      <c r="B61" s="29"/>
      <c r="C61" s="179"/>
    </row>
    <row r="62" spans="1:3">
      <c r="B62" s="15" t="s">
        <v>21</v>
      </c>
      <c r="C62" s="185"/>
    </row>
    <row r="63" spans="1:3">
      <c r="B63" s="25"/>
      <c r="C63" s="186"/>
    </row>
    <row r="64" spans="1:3">
      <c r="B64" s="32"/>
      <c r="C64" s="187"/>
    </row>
  </sheetData>
  <mergeCells count="50">
    <mergeCell ref="B56:B58"/>
    <mergeCell ref="C56:C58"/>
    <mergeCell ref="B59:B61"/>
    <mergeCell ref="C59:C61"/>
    <mergeCell ref="B62:B64"/>
    <mergeCell ref="C62:C64"/>
    <mergeCell ref="B48:B49"/>
    <mergeCell ref="C48:C49"/>
    <mergeCell ref="B50:B52"/>
    <mergeCell ref="C50:C52"/>
    <mergeCell ref="B53:B55"/>
    <mergeCell ref="C53:C55"/>
    <mergeCell ref="A40:A43"/>
    <mergeCell ref="B40:B41"/>
    <mergeCell ref="C40:C41"/>
    <mergeCell ref="B42:B43"/>
    <mergeCell ref="C42:C43"/>
    <mergeCell ref="A44:A49"/>
    <mergeCell ref="B44:B45"/>
    <mergeCell ref="C44:C45"/>
    <mergeCell ref="B46:B47"/>
    <mergeCell ref="C46:C47"/>
    <mergeCell ref="B30:B32"/>
    <mergeCell ref="C30:C32"/>
    <mergeCell ref="B33:B35"/>
    <mergeCell ref="C33:C35"/>
    <mergeCell ref="A36:A39"/>
    <mergeCell ref="B36:B37"/>
    <mergeCell ref="C36:C37"/>
    <mergeCell ref="B38:B39"/>
    <mergeCell ref="C38:C39"/>
    <mergeCell ref="A23:A26"/>
    <mergeCell ref="B23:B24"/>
    <mergeCell ref="C23:C24"/>
    <mergeCell ref="B25:B26"/>
    <mergeCell ref="C25:C26"/>
    <mergeCell ref="B27:B29"/>
    <mergeCell ref="C27:C29"/>
    <mergeCell ref="B14:B16"/>
    <mergeCell ref="C14:C16"/>
    <mergeCell ref="B17:B19"/>
    <mergeCell ref="C17:C19"/>
    <mergeCell ref="B20:B22"/>
    <mergeCell ref="C20:C22"/>
    <mergeCell ref="B6:B7"/>
    <mergeCell ref="C6:C7"/>
    <mergeCell ref="B8:B10"/>
    <mergeCell ref="C8:C10"/>
    <mergeCell ref="B11:B13"/>
    <mergeCell ref="C11:C13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2025-08-21T13:18:48Z</dcterms:modified>
</cp:coreProperties>
</file>