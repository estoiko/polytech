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9"/>
  <workbookPr filterPrivacy="1" defaultThemeVersion="124226"/>
  <xr:revisionPtr revIDLastSave="0" documentId="13_ncr:1_{70455735-FB3F-F74E-89C0-99678AA0BE77}" xr6:coauthVersionLast="47" xr6:coauthVersionMax="47" xr10:uidLastSave="{00000000-0000-0000-0000-000000000000}"/>
  <bookViews>
    <workbookView xWindow="0" yWindow="620" windowWidth="28800" windowHeight="15660" xr2:uid="{00000000-000D-0000-FFFF-FFFF00000000}"/>
  </bookViews>
  <sheets>
    <sheet name="Лист1" sheetId="1" r:id="rId1"/>
    <sheet name="Лист2" sheetId="2" r:id="rId2"/>
    <sheet name="Лист3" sheetId="3" r:id="rId3"/>
  </sheets>
  <definedNames>
    <definedName name="_xlchart.v1.0" hidden="1">Лист1!$B$18</definedName>
    <definedName name="_xlchart.v1.1" hidden="1">Лист1!$C$18:$G$18</definedName>
    <definedName name="_xlchart.v1.2" hidden="1">Лист1!$C$2:$G$2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" l="1"/>
  <c r="E18" i="1"/>
  <c r="F18" i="1"/>
  <c r="G18" i="1"/>
  <c r="C18" i="1"/>
  <c r="C15" i="1"/>
  <c r="F12" i="1"/>
  <c r="F15" i="1" s="1"/>
  <c r="F17" i="1" s="1"/>
  <c r="C12" i="1"/>
  <c r="G12" i="1"/>
  <c r="E12" i="1"/>
  <c r="E15" i="1" s="1"/>
  <c r="D12" i="1"/>
  <c r="D15" i="1" s="1"/>
  <c r="C17" i="1" l="1"/>
  <c r="G15" i="1"/>
  <c r="D17" i="1"/>
  <c r="E17" i="1"/>
  <c r="G17" i="1"/>
</calcChain>
</file>

<file path=xl/sharedStrings.xml><?xml version="1.0" encoding="utf-8"?>
<sst xmlns="http://schemas.openxmlformats.org/spreadsheetml/2006/main" count="23" uniqueCount="23">
  <si>
    <t>Наименование изделия (пломбы)</t>
  </si>
  <si>
    <t>Затраты в себестоимости</t>
  </si>
  <si>
    <t>Фликлок</t>
  </si>
  <si>
    <t>Унисил</t>
  </si>
  <si>
    <t>НП</t>
  </si>
  <si>
    <t>Нейлсил</t>
  </si>
  <si>
    <t>Трос</t>
  </si>
  <si>
    <t>Сырье и материалы</t>
  </si>
  <si>
    <t>Топливо</t>
  </si>
  <si>
    <t>Энергия</t>
  </si>
  <si>
    <t>Расходы на оплату труда</t>
  </si>
  <si>
    <t>Начисления на зарплату</t>
  </si>
  <si>
    <t xml:space="preserve">Административные расходы </t>
  </si>
  <si>
    <t>Выплаты, включаемые в себестоимость</t>
  </si>
  <si>
    <t>Сбытовые расходы</t>
  </si>
  <si>
    <t>Реклама</t>
  </si>
  <si>
    <t>Операционные затраты</t>
  </si>
  <si>
    <t>Налоги в себестоимости</t>
  </si>
  <si>
    <t>Амортизация оборуд.</t>
  </si>
  <si>
    <t>Себестоимость</t>
  </si>
  <si>
    <t>Процентная прибыль</t>
  </si>
  <si>
    <t>Продажная цена без НДС</t>
  </si>
  <si>
    <t>Продажная цена с  НДС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</si>
</sst>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₽&quot;_-;\-* #,##0.00\ &quot;₽&quot;_-;_-* &quot;-&quot;??\ &quot;₽&quot;_-;_-@_-"/>
    <numFmt numFmtId="164" formatCode="[$-419]d\ mmm;@"/>
    <numFmt numFmtId="165" formatCode="#,##0.00&quot;р.&quot;"/>
  </numFmts>
  <fonts count="5" x14ac:knownFonts="1"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wrapText="1"/>
    </xf>
    <xf numFmtId="164" fontId="1" fillId="0" borderId="5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wrapText="1"/>
    </xf>
    <xf numFmtId="0" fontId="1" fillId="0" borderId="8" xfId="0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wrapText="1"/>
    </xf>
    <xf numFmtId="164" fontId="2" fillId="0" borderId="2" xfId="0" applyNumberFormat="1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165" fontId="2" fillId="0" borderId="2" xfId="0" applyNumberFormat="1" applyFont="1" applyBorder="1" applyAlignment="1">
      <alignment horizontal="center"/>
    </xf>
    <xf numFmtId="44" fontId="1" fillId="0" borderId="5" xfId="1" applyFont="1" applyBorder="1" applyAlignment="1">
      <alignment horizontal="center" vertical="center"/>
    </xf>
    <xf numFmtId="44" fontId="1" fillId="0" borderId="6" xfId="1" applyFont="1" applyBorder="1" applyAlignment="1">
      <alignment horizontal="center" vertical="center"/>
    </xf>
    <xf numFmtId="44" fontId="1" fillId="0" borderId="9" xfId="1" applyFont="1" applyBorder="1" applyAlignment="1">
      <alignment horizontal="center" vertical="center"/>
    </xf>
    <xf numFmtId="10" fontId="1" fillId="0" borderId="5" xfId="2" applyNumberFormat="1" applyFont="1" applyBorder="1" applyAlignment="1">
      <alignment horizontal="center" vertical="center"/>
    </xf>
    <xf numFmtId="10" fontId="1" fillId="0" borderId="6" xfId="2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</cellXfs>
  <cellStyles count="3">
    <cellStyle name="Денежный" xfId="1" builtinId="4"/>
    <cellStyle name="Обычный" xfId="0" builtinId="0"/>
    <cellStyle name="Процентный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Себестоимость/Продажная</a:t>
            </a:r>
            <a:r>
              <a:rPr lang="ru-RU" baseline="0"/>
              <a:t> цена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12"/>
          <c:order val="0"/>
          <c:tx>
            <c:strRef>
              <c:f>Лист1!$B$15</c:f>
              <c:strCache>
                <c:ptCount val="1"/>
                <c:pt idx="0">
                  <c:v>Себестоимость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Лист1!$C$2:$G$2</c:f>
              <c:strCache>
                <c:ptCount val="5"/>
                <c:pt idx="0">
                  <c:v>Фликлок</c:v>
                </c:pt>
                <c:pt idx="1">
                  <c:v>Унисил</c:v>
                </c:pt>
                <c:pt idx="2">
                  <c:v>НП</c:v>
                </c:pt>
                <c:pt idx="3">
                  <c:v>Нейлсил</c:v>
                </c:pt>
                <c:pt idx="4">
                  <c:v>Трос</c:v>
                </c:pt>
              </c:strCache>
            </c:strRef>
          </c:cat>
          <c:val>
            <c:numRef>
              <c:f>Лист1!$C$15:$G$15</c:f>
              <c:numCache>
                <c:formatCode>_("₽"* #,##0.00_);_("₽"* \(#,##0.00\);_("₽"* "-"??_);_(@_)</c:formatCode>
                <c:ptCount val="5"/>
                <c:pt idx="0">
                  <c:v>5.25</c:v>
                </c:pt>
                <c:pt idx="1">
                  <c:v>3.63</c:v>
                </c:pt>
                <c:pt idx="2">
                  <c:v>3.9999999999999996</c:v>
                </c:pt>
                <c:pt idx="3">
                  <c:v>36.670000000000009</c:v>
                </c:pt>
                <c:pt idx="4">
                  <c:v>50.999999999999993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EE7D-FE4E-936F-7902C36FD8A4}"/>
            </c:ext>
          </c:extLst>
        </c:ser>
        <c:ser>
          <c:idx val="15"/>
          <c:order val="1"/>
          <c:tx>
            <c:strRef>
              <c:f>Лист1!$B$18</c:f>
              <c:strCache>
                <c:ptCount val="1"/>
                <c:pt idx="0">
                  <c:v>Продажная цена с  НДС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Лист1!$C$2:$G$2</c:f>
              <c:strCache>
                <c:ptCount val="5"/>
                <c:pt idx="0">
                  <c:v>Фликлок</c:v>
                </c:pt>
                <c:pt idx="1">
                  <c:v>Унисил</c:v>
                </c:pt>
                <c:pt idx="2">
                  <c:v>НП</c:v>
                </c:pt>
                <c:pt idx="3">
                  <c:v>Нейлсил</c:v>
                </c:pt>
                <c:pt idx="4">
                  <c:v>Трос</c:v>
                </c:pt>
              </c:strCache>
            </c:strRef>
          </c:cat>
          <c:val>
            <c:numRef>
              <c:f>Лист1!$C$18:$G$18</c:f>
              <c:numCache>
                <c:formatCode>_("₽"* #,##0.00_);_("₽"* \(#,##0.00\);_("₽"* "-"??_);_(@_)</c:formatCode>
                <c:ptCount val="5"/>
                <c:pt idx="0">
                  <c:v>6.5047499999999996</c:v>
                </c:pt>
                <c:pt idx="1">
                  <c:v>4.4975699999999996</c:v>
                </c:pt>
                <c:pt idx="2">
                  <c:v>5.0031999999999988</c:v>
                </c:pt>
                <c:pt idx="3">
                  <c:v>45.001424000000007</c:v>
                </c:pt>
                <c:pt idx="4">
                  <c:v>65.295299999999983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EE7D-FE4E-936F-7902C36FD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0059456"/>
        <c:axId val="1340061248"/>
      </c:barChart>
      <c:catAx>
        <c:axId val="1340059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Тип</a:t>
                </a:r>
                <a:r>
                  <a:rPr lang="ru-RU" baseline="0"/>
                  <a:t> пломбы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0061248"/>
        <c:crosses val="autoZero"/>
        <c:auto val="1"/>
        <c:lblAlgn val="ctr"/>
        <c:lblOffset val="100"/>
        <c:noMultiLvlLbl val="0"/>
      </c:catAx>
      <c:valAx>
        <c:axId val="134006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Стоимость,</a:t>
                </a:r>
                <a:r>
                  <a:rPr lang="ru-RU" baseline="0"/>
                  <a:t> руб.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0059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Лист1!$B$15</c:f>
              <c:strCache>
                <c:ptCount val="1"/>
                <c:pt idx="0">
                  <c:v>Себестоимость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A1D-4742-9810-0D5DA20D328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A1D-4742-9810-0D5DA20D328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A1D-4742-9810-0D5DA20D328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A1D-4742-9810-0D5DA20D328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A1D-4742-9810-0D5DA20D328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1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Лист1!$C$2:$G$2</c:f>
              <c:strCache>
                <c:ptCount val="5"/>
                <c:pt idx="0">
                  <c:v>Фликлок</c:v>
                </c:pt>
                <c:pt idx="1">
                  <c:v>Унисил</c:v>
                </c:pt>
                <c:pt idx="2">
                  <c:v>НП</c:v>
                </c:pt>
                <c:pt idx="3">
                  <c:v>Нейлсил</c:v>
                </c:pt>
                <c:pt idx="4">
                  <c:v>Трос</c:v>
                </c:pt>
              </c:strCache>
            </c:strRef>
          </c:cat>
          <c:val>
            <c:numRef>
              <c:f>Лист1!$C$15:$G$15</c:f>
              <c:numCache>
                <c:formatCode>_("₽"* #,##0.00_);_("₽"* \(#,##0.00\);_("₽"* "-"??_);_(@_)</c:formatCode>
                <c:ptCount val="5"/>
                <c:pt idx="0">
                  <c:v>5.25</c:v>
                </c:pt>
                <c:pt idx="1">
                  <c:v>3.63</c:v>
                </c:pt>
                <c:pt idx="2">
                  <c:v>3.9999999999999996</c:v>
                </c:pt>
                <c:pt idx="3">
                  <c:v>36.670000000000009</c:v>
                </c:pt>
                <c:pt idx="4">
                  <c:v>50.999999999999993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9C-944D-8B8C-0B395F1F830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3007</xdr:colOff>
      <xdr:row>1</xdr:row>
      <xdr:rowOff>4232</xdr:rowOff>
    </xdr:from>
    <xdr:to>
      <xdr:col>17</xdr:col>
      <xdr:colOff>795662</xdr:colOff>
      <xdr:row>16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2090790-2CFF-0D98-9A5F-96F9DB34F9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3657</xdr:colOff>
      <xdr:row>17</xdr:row>
      <xdr:rowOff>9778</xdr:rowOff>
    </xdr:from>
    <xdr:to>
      <xdr:col>17</xdr:col>
      <xdr:colOff>783951</xdr:colOff>
      <xdr:row>38</xdr:row>
      <xdr:rowOff>104872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9D794A3A-D496-6C0C-5D98-511BA27028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H11" sqref="H11"/>
    </sheetView>
  </sheetViews>
  <sheetFormatPr baseColWidth="10" defaultColWidth="10.83203125" defaultRowHeight="15" x14ac:dyDescent="0.2"/>
  <cols>
    <col min="1" max="1" width="3.1640625" bestFit="1" customWidth="1"/>
    <col min="2" max="2" width="25.83203125" bestFit="1" customWidth="1"/>
    <col min="3" max="3" width="10" bestFit="1" customWidth="1"/>
    <col min="4" max="4" width="8.5" bestFit="1" customWidth="1"/>
    <col min="5" max="5" width="7.6640625" bestFit="1" customWidth="1"/>
    <col min="6" max="6" width="9.33203125" bestFit="1" customWidth="1"/>
    <col min="7" max="7" width="8.83203125" bestFit="1" customWidth="1"/>
  </cols>
  <sheetData>
    <row r="1" spans="1:7" ht="17" thickBot="1" x14ac:dyDescent="0.25">
      <c r="A1" s="11"/>
      <c r="B1" s="12"/>
      <c r="C1" s="21" t="s">
        <v>0</v>
      </c>
      <c r="D1" s="22"/>
      <c r="E1" s="22"/>
      <c r="F1" s="22"/>
      <c r="G1" s="23"/>
    </row>
    <row r="2" spans="1:7" ht="17" x14ac:dyDescent="0.2">
      <c r="A2" s="1"/>
      <c r="B2" s="13" t="s">
        <v>1</v>
      </c>
      <c r="C2" s="14" t="s">
        <v>2</v>
      </c>
      <c r="D2" s="2" t="s">
        <v>3</v>
      </c>
      <c r="E2" s="15" t="s">
        <v>4</v>
      </c>
      <c r="F2" s="15" t="s">
        <v>5</v>
      </c>
      <c r="G2" s="3" t="s">
        <v>6</v>
      </c>
    </row>
    <row r="3" spans="1:7" ht="17" x14ac:dyDescent="0.2">
      <c r="A3" s="4">
        <v>1</v>
      </c>
      <c r="B3" s="6" t="s">
        <v>7</v>
      </c>
      <c r="C3" s="16">
        <v>1.55</v>
      </c>
      <c r="D3" s="16">
        <v>1.07</v>
      </c>
      <c r="E3" s="16">
        <v>1.1399999999999999</v>
      </c>
      <c r="F3" s="16">
        <v>21.27</v>
      </c>
      <c r="G3" s="17">
        <v>28.75</v>
      </c>
    </row>
    <row r="4" spans="1:7" ht="17" x14ac:dyDescent="0.2">
      <c r="A4" s="4">
        <v>2</v>
      </c>
      <c r="B4" s="6" t="s">
        <v>8</v>
      </c>
      <c r="C4" s="16">
        <v>0.34</v>
      </c>
      <c r="D4" s="16">
        <v>0.24</v>
      </c>
      <c r="E4" s="16">
        <v>0.26</v>
      </c>
      <c r="F4" s="16">
        <v>2.35</v>
      </c>
      <c r="G4" s="17">
        <v>3.39</v>
      </c>
    </row>
    <row r="5" spans="1:7" ht="17" x14ac:dyDescent="0.2">
      <c r="A5" s="4">
        <v>3</v>
      </c>
      <c r="B5" s="6" t="s">
        <v>9</v>
      </c>
      <c r="C5" s="16">
        <v>0.89</v>
      </c>
      <c r="D5" s="16">
        <v>0.62</v>
      </c>
      <c r="E5" s="16">
        <v>0.69</v>
      </c>
      <c r="F5" s="16">
        <v>0.16</v>
      </c>
      <c r="G5" s="17">
        <v>0.23</v>
      </c>
    </row>
    <row r="6" spans="1:7" ht="17" x14ac:dyDescent="0.2">
      <c r="A6" s="4">
        <v>4</v>
      </c>
      <c r="B6" s="6" t="s">
        <v>10</v>
      </c>
      <c r="C6" s="16">
        <v>0.05</v>
      </c>
      <c r="D6" s="16">
        <v>0.03</v>
      </c>
      <c r="E6" s="16">
        <v>0.04</v>
      </c>
      <c r="F6" s="16">
        <v>0.35</v>
      </c>
      <c r="G6" s="17">
        <v>0.51</v>
      </c>
    </row>
    <row r="7" spans="1:7" ht="17" x14ac:dyDescent="0.2">
      <c r="A7" s="4">
        <v>5</v>
      </c>
      <c r="B7" s="6" t="s">
        <v>11</v>
      </c>
      <c r="C7" s="16">
        <v>0.01</v>
      </c>
      <c r="D7" s="16">
        <v>0.01</v>
      </c>
      <c r="E7" s="16">
        <v>0.01</v>
      </c>
      <c r="F7" s="16">
        <v>7.0000000000000007E-2</v>
      </c>
      <c r="G7" s="17">
        <v>0.1</v>
      </c>
    </row>
    <row r="8" spans="1:7" ht="17" x14ac:dyDescent="0.2">
      <c r="A8" s="4">
        <v>6</v>
      </c>
      <c r="B8" s="6" t="s">
        <v>12</v>
      </c>
      <c r="C8" s="16">
        <v>0.35</v>
      </c>
      <c r="D8" s="16">
        <v>0.24</v>
      </c>
      <c r="E8" s="16">
        <v>0.27</v>
      </c>
      <c r="F8" s="16">
        <v>0.42</v>
      </c>
      <c r="G8" s="17">
        <v>0.61</v>
      </c>
    </row>
    <row r="9" spans="1:7" ht="35" customHeight="1" x14ac:dyDescent="0.2">
      <c r="A9" s="4">
        <v>7</v>
      </c>
      <c r="B9" s="6" t="s">
        <v>13</v>
      </c>
      <c r="C9" s="16">
        <v>0.18</v>
      </c>
      <c r="D9" s="16">
        <v>0.12</v>
      </c>
      <c r="E9" s="16">
        <v>0.14000000000000001</v>
      </c>
      <c r="F9" s="16">
        <v>1.25</v>
      </c>
      <c r="G9" s="17">
        <v>1.8</v>
      </c>
    </row>
    <row r="10" spans="1:7" ht="17" x14ac:dyDescent="0.2">
      <c r="A10" s="4">
        <v>8</v>
      </c>
      <c r="B10" s="6" t="s">
        <v>14</v>
      </c>
      <c r="C10" s="16">
        <v>0.54</v>
      </c>
      <c r="D10" s="16">
        <v>0.37</v>
      </c>
      <c r="E10" s="16">
        <v>0.42</v>
      </c>
      <c r="F10" s="16">
        <v>3.74</v>
      </c>
      <c r="G10" s="17">
        <v>5.4</v>
      </c>
    </row>
    <row r="11" spans="1:7" ht="18" customHeight="1" x14ac:dyDescent="0.2">
      <c r="A11" s="4">
        <v>9</v>
      </c>
      <c r="B11" s="6" t="s">
        <v>15</v>
      </c>
      <c r="C11" s="16">
        <v>0.04</v>
      </c>
      <c r="D11" s="16">
        <v>0.03</v>
      </c>
      <c r="E11" s="16">
        <v>0.03</v>
      </c>
      <c r="F11" s="16">
        <v>0.28000000000000003</v>
      </c>
      <c r="G11" s="17">
        <v>0.41</v>
      </c>
    </row>
    <row r="12" spans="1:7" ht="17" x14ac:dyDescent="0.2">
      <c r="A12" s="4">
        <v>10</v>
      </c>
      <c r="B12" s="6" t="s">
        <v>16</v>
      </c>
      <c r="C12" s="16">
        <f>SUM(C3:C11)</f>
        <v>3.95</v>
      </c>
      <c r="D12" s="16">
        <f>SUM(D3:D11)</f>
        <v>2.73</v>
      </c>
      <c r="E12" s="16">
        <f>SUM(E3:E11)</f>
        <v>2.9999999999999996</v>
      </c>
      <c r="F12" s="16">
        <f>SUM(F3:F11)</f>
        <v>29.890000000000008</v>
      </c>
      <c r="G12" s="17">
        <f>SUM(G3:G11)</f>
        <v>41.199999999999989</v>
      </c>
    </row>
    <row r="13" spans="1:7" ht="17" x14ac:dyDescent="0.2">
      <c r="A13" s="4">
        <v>11</v>
      </c>
      <c r="B13" s="6" t="s">
        <v>17</v>
      </c>
      <c r="C13" s="16">
        <v>1.26</v>
      </c>
      <c r="D13" s="16">
        <v>0.87</v>
      </c>
      <c r="E13" s="16">
        <v>0.97</v>
      </c>
      <c r="F13" s="16">
        <v>6.72</v>
      </c>
      <c r="G13" s="17">
        <v>9.7100000000000009</v>
      </c>
    </row>
    <row r="14" spans="1:7" ht="17" x14ac:dyDescent="0.2">
      <c r="A14" s="4">
        <v>12</v>
      </c>
      <c r="B14" s="6" t="s">
        <v>18</v>
      </c>
      <c r="C14" s="16">
        <v>0.04</v>
      </c>
      <c r="D14" s="16">
        <v>0.03</v>
      </c>
      <c r="E14" s="16">
        <v>0.03</v>
      </c>
      <c r="F14" s="16">
        <v>0.06</v>
      </c>
      <c r="G14" s="17">
        <v>0.09</v>
      </c>
    </row>
    <row r="15" spans="1:7" ht="17" x14ac:dyDescent="0.2">
      <c r="A15" s="4">
        <v>13</v>
      </c>
      <c r="B15" s="5" t="s">
        <v>19</v>
      </c>
      <c r="C15" s="16">
        <f>SUM(C12:C14)</f>
        <v>5.25</v>
      </c>
      <c r="D15" s="16">
        <f>SUM(D12:D14)</f>
        <v>3.63</v>
      </c>
      <c r="E15" s="16">
        <f>SUM(E12:E14)</f>
        <v>3.9999999999999996</v>
      </c>
      <c r="F15" s="16">
        <f>SUM(F12:F14)</f>
        <v>36.670000000000009</v>
      </c>
      <c r="G15" s="17">
        <f>SUM(G12:G14)</f>
        <v>50.999999999999993</v>
      </c>
    </row>
    <row r="16" spans="1:7" ht="17" x14ac:dyDescent="0.2">
      <c r="A16" s="7">
        <v>14</v>
      </c>
      <c r="B16" s="8" t="s">
        <v>20</v>
      </c>
      <c r="C16" s="19">
        <v>0.05</v>
      </c>
      <c r="D16" s="19">
        <v>0.05</v>
      </c>
      <c r="E16" s="19">
        <v>0.06</v>
      </c>
      <c r="F16" s="19">
        <v>0.04</v>
      </c>
      <c r="G16" s="20">
        <v>8.5000000000000006E-2</v>
      </c>
    </row>
    <row r="17" spans="1:7" ht="17" x14ac:dyDescent="0.2">
      <c r="A17" s="4">
        <v>15</v>
      </c>
      <c r="B17" s="8" t="s">
        <v>21</v>
      </c>
      <c r="C17" s="16">
        <f>C15*(1+C16)</f>
        <v>5.5125000000000002</v>
      </c>
      <c r="D17" s="16">
        <f t="shared" ref="D17:G17" si="0">D15*(1+D16)</f>
        <v>3.8115000000000001</v>
      </c>
      <c r="E17" s="16">
        <f t="shared" si="0"/>
        <v>4.2399999999999993</v>
      </c>
      <c r="F17" s="16">
        <f t="shared" si="0"/>
        <v>38.136800000000008</v>
      </c>
      <c r="G17" s="17">
        <f t="shared" si="0"/>
        <v>55.334999999999994</v>
      </c>
    </row>
    <row r="18" spans="1:7" ht="18" thickBot="1" x14ac:dyDescent="0.25">
      <c r="A18" s="9">
        <v>16</v>
      </c>
      <c r="B18" s="10" t="s">
        <v>22</v>
      </c>
      <c r="C18" s="18">
        <f>C17*1.18</f>
        <v>6.5047499999999996</v>
      </c>
      <c r="D18" s="18">
        <f t="shared" ref="D18:G18" si="1">D17*1.18</f>
        <v>4.4975699999999996</v>
      </c>
      <c r="E18" s="18">
        <f t="shared" si="1"/>
        <v>5.0031999999999988</v>
      </c>
      <c r="F18" s="18">
        <f t="shared" si="1"/>
        <v>45.001424000000007</v>
      </c>
      <c r="G18" s="18">
        <f t="shared" si="1"/>
        <v>65.295299999999983</v>
      </c>
    </row>
  </sheetData>
  <mergeCells count="1">
    <mergeCell ref="C1:G1"/>
  </mergeCells>
  <phoneticPr fontId="3" type="noConversion"/>
  <pageMargins left="0.7" right="0.7" top="0.75" bottom="0.75" header="0.3" footer="0.3"/>
  <pageSetup paperSize="9" orientation="portrait" horizontalDpi="18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2025-10-03T09:29:54Z</dcterms:modified>
</cp:coreProperties>
</file>